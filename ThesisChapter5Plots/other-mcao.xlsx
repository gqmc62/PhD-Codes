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gqmc62_durham_ac_uk/Documents/Documents/PhD/Codes/ThesisChapter5Plots/"/>
    </mc:Choice>
  </mc:AlternateContent>
  <xr:revisionPtr revIDLastSave="106" documentId="11_F25DC773A252ABDACC1048B6E1DE5CD45ADE58F1" xr6:coauthVersionLast="47" xr6:coauthVersionMax="47" xr10:uidLastSave="{418353D8-5EC2-4E8D-BAD7-0ECB3538E18B}"/>
  <bookViews>
    <workbookView xWindow="-120" yWindow="-120" windowWidth="29040" windowHeight="15720" activeTab="2" xr2:uid="{00000000-000D-0000-FFFF-FFFF00000000}"/>
  </bookViews>
  <sheets>
    <sheet name="DM-Control-Error-Param (3)" sheetId="9" r:id="rId1"/>
    <sheet name="Sheet5" sheetId="7" r:id="rId2"/>
    <sheet name="DM-Control-Error-Param-median (" sheetId="11" r:id="rId3"/>
    <sheet name="Sheet6" sheetId="10" r:id="rId4"/>
  </sheets>
  <definedNames>
    <definedName name="ExternalData_1" localSheetId="0" hidden="1">'DM-Control-Error-Param (3)'!$A$1:$F$1261</definedName>
    <definedName name="ExternalData_1" localSheetId="2" hidden="1">'DM-Control-Error-Param-median ('!$A$1:$E$211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1" l="1"/>
  <c r="F44" i="11"/>
  <c r="F92" i="11"/>
  <c r="F4" i="11"/>
  <c r="F45" i="11"/>
  <c r="F93" i="11"/>
  <c r="F5" i="11"/>
  <c r="F46" i="11"/>
  <c r="F94" i="11"/>
  <c r="F6" i="11"/>
  <c r="F47" i="11"/>
  <c r="F95" i="11"/>
  <c r="F7" i="11"/>
  <c r="F48" i="11"/>
  <c r="F96" i="11"/>
  <c r="F8" i="11"/>
  <c r="F49" i="11"/>
  <c r="F97" i="11"/>
  <c r="F56" i="11"/>
  <c r="F80" i="11"/>
  <c r="F98" i="11"/>
  <c r="F122" i="11"/>
  <c r="F9" i="11"/>
  <c r="F57" i="11"/>
  <c r="F81" i="11"/>
  <c r="F99" i="11"/>
  <c r="F123" i="11"/>
  <c r="F10" i="11"/>
  <c r="F58" i="11"/>
  <c r="F82" i="11"/>
  <c r="F100" i="11"/>
  <c r="F124" i="11"/>
  <c r="F11" i="11"/>
  <c r="F59" i="11"/>
  <c r="F83" i="11"/>
  <c r="F101" i="11"/>
  <c r="F125" i="11"/>
  <c r="F12" i="11"/>
  <c r="F60" i="11"/>
  <c r="F84" i="11"/>
  <c r="F102" i="11"/>
  <c r="F126" i="11"/>
  <c r="F13" i="11"/>
  <c r="F61" i="11"/>
  <c r="F85" i="11"/>
  <c r="F103" i="11"/>
  <c r="F127" i="11"/>
  <c r="F2" i="11"/>
  <c r="F14" i="11"/>
  <c r="F50" i="11"/>
  <c r="F86" i="11"/>
  <c r="F15" i="11"/>
  <c r="F51" i="11"/>
  <c r="F87" i="11"/>
  <c r="F16" i="11"/>
  <c r="F52" i="11"/>
  <c r="F88" i="11"/>
  <c r="F17" i="11"/>
  <c r="F53" i="11"/>
  <c r="F89" i="11"/>
  <c r="F18" i="11"/>
  <c r="F54" i="11"/>
  <c r="F90" i="11"/>
  <c r="F19" i="11"/>
  <c r="F55" i="11"/>
  <c r="F91" i="11"/>
  <c r="F62" i="11"/>
  <c r="F110" i="11"/>
  <c r="F20" i="11"/>
  <c r="F63" i="11"/>
  <c r="F111" i="11"/>
  <c r="F21" i="11"/>
  <c r="F64" i="11"/>
  <c r="F112" i="11"/>
  <c r="F22" i="11"/>
  <c r="F65" i="11"/>
  <c r="F113" i="11"/>
  <c r="F23" i="11"/>
  <c r="F66" i="11"/>
  <c r="F114" i="11"/>
  <c r="F24" i="11"/>
  <c r="F67" i="11"/>
  <c r="F115" i="11"/>
  <c r="F25" i="11"/>
  <c r="F26" i="11"/>
  <c r="F104" i="11"/>
  <c r="F27" i="11"/>
  <c r="F105" i="11"/>
  <c r="F28" i="11"/>
  <c r="F106" i="11"/>
  <c r="F29" i="11"/>
  <c r="F107" i="11"/>
  <c r="F30" i="11"/>
  <c r="F108" i="11"/>
  <c r="F31" i="11"/>
  <c r="F109" i="11"/>
  <c r="F68" i="11"/>
  <c r="F116" i="11"/>
  <c r="F38" i="11"/>
  <c r="F69" i="11"/>
  <c r="F117" i="11"/>
  <c r="F39" i="11"/>
  <c r="F70" i="11"/>
  <c r="F118" i="11"/>
  <c r="F40" i="11"/>
  <c r="F71" i="11"/>
  <c r="F119" i="11"/>
  <c r="F41" i="11"/>
  <c r="F72" i="11"/>
  <c r="F120" i="11"/>
  <c r="F42" i="11"/>
  <c r="F73" i="11"/>
  <c r="F121" i="11"/>
  <c r="F43" i="11"/>
  <c r="F32" i="11"/>
  <c r="F74" i="11"/>
  <c r="F33" i="11"/>
  <c r="F75" i="11"/>
  <c r="F34" i="11"/>
  <c r="F76" i="11"/>
  <c r="F35" i="11"/>
  <c r="F77" i="11"/>
  <c r="F36" i="11"/>
  <c r="F78" i="11"/>
  <c r="F37" i="11"/>
  <c r="F79" i="11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2" i="9"/>
  <c r="G110" i="9"/>
  <c r="G3" i="9"/>
  <c r="G4" i="9"/>
  <c r="G5" i="9"/>
  <c r="G6" i="9"/>
  <c r="G7" i="9"/>
  <c r="G8" i="9"/>
  <c r="G9" i="9"/>
  <c r="G10" i="9"/>
  <c r="G11" i="9"/>
  <c r="G12" i="9"/>
  <c r="G13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4" i="9"/>
  <c r="G176" i="9"/>
  <c r="G177" i="9"/>
  <c r="G178" i="9"/>
  <c r="G179" i="9"/>
  <c r="G15" i="9"/>
  <c r="G16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17" i="9"/>
  <c r="G275" i="9"/>
  <c r="G276" i="9"/>
  <c r="G18" i="9"/>
  <c r="G19" i="9"/>
  <c r="G20" i="9"/>
  <c r="G21" i="9"/>
  <c r="G22" i="9"/>
  <c r="G23" i="9"/>
  <c r="G24" i="9"/>
  <c r="G25" i="9"/>
  <c r="G26" i="9"/>
  <c r="G27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28" i="9"/>
  <c r="G522" i="9"/>
  <c r="G523" i="9"/>
  <c r="G524" i="9"/>
  <c r="G525" i="9"/>
  <c r="G526" i="9"/>
  <c r="G29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30" i="9"/>
  <c r="G556" i="9"/>
  <c r="G557" i="9"/>
  <c r="G558" i="9"/>
  <c r="G559" i="9"/>
  <c r="G31" i="9"/>
  <c r="G32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33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34" i="9"/>
  <c r="G660" i="9"/>
  <c r="G661" i="9"/>
  <c r="G662" i="9"/>
  <c r="G35" i="9"/>
  <c r="G36" i="9"/>
  <c r="G37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38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39" i="9"/>
  <c r="G727" i="9"/>
  <c r="G728" i="9"/>
  <c r="G729" i="9"/>
  <c r="G730" i="9"/>
  <c r="G40" i="9"/>
  <c r="G41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42" i="9"/>
  <c r="G754" i="9"/>
  <c r="G755" i="9"/>
  <c r="G756" i="9"/>
  <c r="G757" i="9"/>
  <c r="G43" i="9"/>
  <c r="G44" i="9"/>
  <c r="G45" i="9"/>
  <c r="G46" i="9"/>
  <c r="G47" i="9"/>
  <c r="G48" i="9"/>
  <c r="G49" i="9"/>
  <c r="G50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BEA06C-5085-413F-923B-7D9659569038}" keepAlive="1" name="Query - DM-Control-Error-Param" description="Connection to the 'DM-Control-Error-Param' query in the workbook." type="5" refreshedVersion="0" background="1" saveData="1">
    <dbPr connection="Provider=Microsoft.Mashup.OleDb.1;Data Source=$Workbook$;Location=DM-Control-Error-Param;Extended Properties=&quot;&quot;" command="SELECT * FROM [DM-Control-Error-Param]"/>
  </connection>
  <connection id="2" xr16:uid="{5F1F8055-7CC8-485F-8DCA-C835D7063890}" keepAlive="1" name="Query - DM-Control-Error-Param (2)" description="Connection to the 'DM-Control-Error-Param (2)' query in the workbook." type="5" refreshedVersion="0" background="1" saveData="1">
    <dbPr connection="Provider=Microsoft.Mashup.OleDb.1;Data Source=$Workbook$;Location=&quot;DM-Control-Error-Param (2)&quot;;Extended Properties=&quot;&quot;" command="SELECT * FROM [DM-Control-Error-Param (2)]"/>
  </connection>
  <connection id="3" xr16:uid="{D65CA92D-35B5-4A79-9ECC-8A9D7004F10B}" keepAlive="1" name="Query - DM-Control-Error-Param (3)" description="Connection to the 'DM-Control-Error-Param (3)' query in the workbook." type="5" refreshedVersion="8" background="1" saveData="1">
    <dbPr connection="Provider=Microsoft.Mashup.OleDb.1;Data Source=$Workbook$;Location=&quot;DM-Control-Error-Param (3)&quot;;Extended Properties=&quot;&quot;" command="SELECT * FROM [DM-Control-Error-Param (3)]"/>
  </connection>
  <connection id="4" xr16:uid="{928DD04B-185A-47AD-ACDE-62DABCD77254}" keepAlive="1" name="Query - DM-Control-Error-Param-median" description="Connection to the 'DM-Control-Error-Param-median' query in the workbook." type="5" refreshedVersion="0" background="1" saveData="1">
    <dbPr connection="Provider=Microsoft.Mashup.OleDb.1;Data Source=$Workbook$;Location=DM-Control-Error-Param-median;Extended Properties=&quot;&quot;" command="SELECT * FROM [DM-Control-Error-Param-median]"/>
  </connection>
  <connection id="5" xr16:uid="{6CB6E040-9B96-4E53-9C15-FE228B896655}" keepAlive="1" name="Query - DM-Control-Error-Param-median (2)" description="Connection to the 'DM-Control-Error-Param-median (2)' query in the workbook." type="5" refreshedVersion="8" background="1" saveData="1">
    <dbPr connection="Provider=Microsoft.Mashup.OleDb.1;Data Source=$Workbook$;Location=&quot;DM-Control-Error-Param-median (2)&quot;;Extended Properties=&quot;&quot;" command="SELECT * FROM [DM-Control-Error-Param-median (2)]"/>
  </connection>
</connections>
</file>

<file path=xl/sharedStrings.xml><?xml version="1.0" encoding="utf-8"?>
<sst xmlns="http://schemas.openxmlformats.org/spreadsheetml/2006/main" count="1881" uniqueCount="46">
  <si>
    <t>system</t>
  </si>
  <si>
    <t>r0 (cm)</t>
  </si>
  <si>
    <t>zeta (deg)</t>
  </si>
  <si>
    <t>dm height (km)</t>
  </si>
  <si>
    <t>aperture shift (% actuator pitch)</t>
  </si>
  <si>
    <t xml:space="preserve">log-amplitude variance </t>
  </si>
  <si>
    <t>DKIST</t>
  </si>
  <si>
    <t>0.0</t>
  </si>
  <si>
    <t>4.0</t>
  </si>
  <si>
    <t>11.2</t>
  </si>
  <si>
    <t>EST</t>
  </si>
  <si>
    <t>5.0</t>
  </si>
  <si>
    <t>9.0</t>
  </si>
  <si>
    <t>12.0</t>
  </si>
  <si>
    <t>20.0</t>
  </si>
  <si>
    <t>GeMS</t>
  </si>
  <si>
    <t>4.5</t>
  </si>
  <si>
    <t>MAVIS</t>
  </si>
  <si>
    <t>6.0</t>
  </si>
  <si>
    <t>13.5</t>
  </si>
  <si>
    <t>NFIRAOS</t>
  </si>
  <si>
    <t>11.8</t>
  </si>
  <si>
    <t>MORFEO</t>
  </si>
  <si>
    <t>7.0</t>
  </si>
  <si>
    <t>17.5</t>
  </si>
  <si>
    <t>0.6</t>
  </si>
  <si>
    <t>MAD</t>
  </si>
  <si>
    <t>8.5</t>
  </si>
  <si>
    <t>Column1</t>
  </si>
  <si>
    <t>0</t>
  </si>
  <si>
    <t>4</t>
  </si>
  <si>
    <t>11</t>
  </si>
  <si>
    <t>5</t>
  </si>
  <si>
    <t>9</t>
  </si>
  <si>
    <t>12</t>
  </si>
  <si>
    <t>20</t>
  </si>
  <si>
    <t>6</t>
  </si>
  <si>
    <t>14</t>
  </si>
  <si>
    <t>7</t>
  </si>
  <si>
    <t>18</t>
  </si>
  <si>
    <t>1</t>
  </si>
  <si>
    <t>8</t>
  </si>
  <si>
    <t>log-amplitude variance 2</t>
  </si>
  <si>
    <t>aperture shift (% actuator pitch)2</t>
  </si>
  <si>
    <t>zenith distance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</si>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</sst>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BA5E33B-2A08-497A-A7A1-116E6BA0B31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ystem" tableColumnId="1"/>
      <queryTableField id="2" name="r0 (cm)" tableColumnId="2"/>
      <queryTableField id="3" name="zeta (deg)" tableColumnId="3"/>
      <queryTableField id="4" name="dm height (km)" tableColumnId="4"/>
      <queryTableField id="5" name="aperture shift (% actuator pitch)" tableColumnId="5"/>
      <queryTableField id="6" name="log-amplitude variance 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7378D3B-7C62-493D-B1BE-98F76CF78FA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ystem" tableColumnId="1"/>
      <queryTableField id="2" name="dm height (km)" tableColumnId="2"/>
      <queryTableField id="3" name="aperture shift (% actuator pitch)" tableColumnId="3"/>
      <queryTableField id="4" name="log-amplitude variance " tableColumnId="4"/>
      <queryTableField id="5" name="Column1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B737EF-4929-4F12-AE6B-B8239C5B38AF}" name="DM_Control_Error_Param__3" displayName="DM_Control_Error_Param__3" ref="A1:G1261" tableType="queryTable" totalsRowShown="0">
  <autoFilter ref="A1:G1261" xr:uid="{4CB737EF-4929-4F12-AE6B-B8239C5B38AF}"/>
  <sortState xmlns:xlrd2="http://schemas.microsoft.com/office/spreadsheetml/2017/richdata2" ref="A2:G1261">
    <sortCondition descending="1" ref="G1:G1261"/>
  </sortState>
  <tableColumns count="7">
    <tableColumn id="1" xr3:uid="{F4BB5D2A-5353-4428-8A15-A271B9227075}" uniqueName="1" name="system" queryTableFieldId="1" dataDxfId="5"/>
    <tableColumn id="2" xr3:uid="{ECC56579-FC17-4A93-B891-3BFA785C2C4D}" uniqueName="2" name="r0 (cm)" queryTableFieldId="2"/>
    <tableColumn id="3" xr3:uid="{70F67E1F-E473-4F28-B9A3-4833D958182F}" uniqueName="3" name="zeta (deg)" queryTableFieldId="3"/>
    <tableColumn id="4" xr3:uid="{5BBDEB9A-1B52-4F4B-9EB5-11DA9D1740F3}" uniqueName="4" name="dm height (km)" queryTableFieldId="4" dataDxfId="4"/>
    <tableColumn id="5" xr3:uid="{C9D33EF5-8ED0-4E1E-BA18-196ECDABD1D2}" uniqueName="5" name="aperture shift (% actuator pitch)" queryTableFieldId="5"/>
    <tableColumn id="6" xr3:uid="{8D679CF6-794A-4C21-8972-4479E9F9BB7E}" uniqueName="6" name="log-amplitude variance " queryTableFieldId="6"/>
    <tableColumn id="7" xr3:uid="{B843DE31-4701-415D-B5E0-310371DE6E45}" uniqueName="7" name="Column1" queryTableFieldId="7" dataDxfId="3">
      <calculatedColumnFormula>OR(DM_Control_Error_Param__3[[#This Row],[aperture shift (% actuator pitch)]]&gt;10,DM_Control_Error_Param__3[[#This Row],[log-amplitude variance ]]&gt;0.1)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E080CA-6920-4BCD-97B7-CC7FC5741425}" name="DM_Control_Error_Param_median__2" displayName="DM_Control_Error_Param_median__2" ref="A1:F211" tableType="queryTable" totalsRowShown="0">
  <autoFilter ref="A1:F211" xr:uid="{48E080CA-6920-4BCD-97B7-CC7FC5741425}"/>
  <sortState xmlns:xlrd2="http://schemas.microsoft.com/office/spreadsheetml/2017/richdata2" ref="A2:F211">
    <sortCondition descending="1" ref="F1:F211"/>
  </sortState>
  <tableColumns count="6">
    <tableColumn id="1" xr3:uid="{9BDCB92D-1586-4732-B14F-870837A30B04}" uniqueName="1" name="system" queryTableFieldId="1" dataDxfId="2"/>
    <tableColumn id="2" xr3:uid="{DC631DA5-0082-4E10-B3C5-4464CEC8DBE7}" uniqueName="2" name="dm height (km)" queryTableFieldId="2" dataDxfId="1"/>
    <tableColumn id="3" xr3:uid="{375AE852-54D7-4837-AAEC-07194EE9DE6C}" uniqueName="3" name="zenith distance" queryTableFieldId="3"/>
    <tableColumn id="4" xr3:uid="{39B1D4D1-9E03-442B-B177-DABC58FF33B3}" uniqueName="4" name="aperture shift (% actuator pitch)2" queryTableFieldId="4"/>
    <tableColumn id="5" xr3:uid="{701B39DB-DE7B-4410-823D-E2BF241C98BB}" uniqueName="5" name="log-amplitude variance 2" queryTableFieldId="5"/>
    <tableColumn id="6" xr3:uid="{56CE2595-9094-4D85-91F3-3B76B67F3576}" uniqueName="6" name="cond" queryTableFieldId="6" dataDxfId="0">
      <calculatedColumnFormula>OR(DM_Control_Error_Param_median__2[[#This Row],[aperture shift (% actuator pitch)2]]&gt;10,DM_Control_Error_Param_median__2[[#This Row],[log-amplitude variance 2]]&gt;0.1)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A2B2-3F8A-4A21-8779-2A9E283DD21C}">
  <dimension ref="A1:G1261"/>
  <sheetViews>
    <sheetView workbookViewId="0">
      <selection activeCell="G50" sqref="A1:G50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2.140625" bestFit="1" customWidth="1"/>
    <col min="4" max="4" width="17" bestFit="1" customWidth="1"/>
    <col min="5" max="5" width="32.140625" bestFit="1" customWidth="1"/>
    <col min="6" max="6" width="2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</row>
    <row r="2" spans="1:7" x14ac:dyDescent="0.25">
      <c r="A2" s="1" t="s">
        <v>10</v>
      </c>
      <c r="B2">
        <v>5</v>
      </c>
      <c r="C2">
        <v>80</v>
      </c>
      <c r="D2" s="1" t="s">
        <v>7</v>
      </c>
      <c r="E2">
        <v>14.2</v>
      </c>
      <c r="F2">
        <v>0.155</v>
      </c>
      <c r="G2" t="b">
        <f>OR(DM_Control_Error_Param__3[[#This Row],[aperture shift (% actuator pitch)]]&gt;10,DM_Control_Error_Param__3[[#This Row],[log-amplitude variance ]]&gt;0.1)</f>
        <v>1</v>
      </c>
    </row>
    <row r="3" spans="1:7" x14ac:dyDescent="0.25">
      <c r="A3" s="1" t="s">
        <v>10</v>
      </c>
      <c r="B3">
        <v>3</v>
      </c>
      <c r="C3">
        <v>30</v>
      </c>
      <c r="D3" s="1" t="s">
        <v>7</v>
      </c>
      <c r="E3">
        <v>10.4</v>
      </c>
      <c r="F3">
        <v>7.8E-2</v>
      </c>
      <c r="G3" t="b">
        <f>OR(DM_Control_Error_Param__3[[#This Row],[aperture shift (% actuator pitch)]]&gt;10,DM_Control_Error_Param__3[[#This Row],[log-amplitude variance ]]&gt;0.1)</f>
        <v>1</v>
      </c>
    </row>
    <row r="4" spans="1:7" x14ac:dyDescent="0.25">
      <c r="A4" s="1" t="s">
        <v>10</v>
      </c>
      <c r="B4">
        <v>3</v>
      </c>
      <c r="C4">
        <v>45</v>
      </c>
      <c r="D4" s="1" t="s">
        <v>7</v>
      </c>
      <c r="E4">
        <v>14.5</v>
      </c>
      <c r="F4">
        <v>0.13600000000000001</v>
      </c>
      <c r="G4" t="b">
        <f>OR(DM_Control_Error_Param__3[[#This Row],[aperture shift (% actuator pitch)]]&gt;10,DM_Control_Error_Param__3[[#This Row],[log-amplitude variance ]]&gt;0.1)</f>
        <v>1</v>
      </c>
    </row>
    <row r="5" spans="1:7" x14ac:dyDescent="0.25">
      <c r="A5" s="1" t="s">
        <v>10</v>
      </c>
      <c r="B5">
        <v>3</v>
      </c>
      <c r="C5">
        <v>60</v>
      </c>
      <c r="D5" s="1" t="s">
        <v>7</v>
      </c>
      <c r="E5">
        <v>13.6</v>
      </c>
      <c r="F5">
        <v>0.13</v>
      </c>
      <c r="G5" t="b">
        <f>OR(DM_Control_Error_Param__3[[#This Row],[aperture shift (% actuator pitch)]]&gt;10,DM_Control_Error_Param__3[[#This Row],[log-amplitude variance ]]&gt;0.1)</f>
        <v>1</v>
      </c>
    </row>
    <row r="6" spans="1:7" x14ac:dyDescent="0.25">
      <c r="A6" s="1" t="s">
        <v>10</v>
      </c>
      <c r="B6">
        <v>3</v>
      </c>
      <c r="C6">
        <v>70</v>
      </c>
      <c r="D6" s="1" t="s">
        <v>7</v>
      </c>
      <c r="E6">
        <v>14.8</v>
      </c>
      <c r="F6">
        <v>0.16800000000000001</v>
      </c>
      <c r="G6" t="b">
        <f>OR(DM_Control_Error_Param__3[[#This Row],[aperture shift (% actuator pitch)]]&gt;10,DM_Control_Error_Param__3[[#This Row],[log-amplitude variance ]]&gt;0.1)</f>
        <v>1</v>
      </c>
    </row>
    <row r="7" spans="1:7" x14ac:dyDescent="0.25">
      <c r="A7" s="1" t="s">
        <v>10</v>
      </c>
      <c r="B7">
        <v>3</v>
      </c>
      <c r="C7">
        <v>80</v>
      </c>
      <c r="D7" s="1" t="s">
        <v>7</v>
      </c>
      <c r="E7">
        <v>21.8</v>
      </c>
      <c r="F7">
        <v>0.36199999999999999</v>
      </c>
      <c r="G7" t="b">
        <f>OR(DM_Control_Error_Param__3[[#This Row],[aperture shift (% actuator pitch)]]&gt;10,DM_Control_Error_Param__3[[#This Row],[log-amplitude variance ]]&gt;0.1)</f>
        <v>1</v>
      </c>
    </row>
    <row r="8" spans="1:7" x14ac:dyDescent="0.25">
      <c r="A8" s="1" t="s">
        <v>10</v>
      </c>
      <c r="B8">
        <v>2</v>
      </c>
      <c r="C8">
        <v>0</v>
      </c>
      <c r="D8" s="1" t="s">
        <v>7</v>
      </c>
      <c r="E8">
        <v>12.8</v>
      </c>
      <c r="F8">
        <v>0.14399999999999999</v>
      </c>
      <c r="G8" t="b">
        <f>OR(DM_Control_Error_Param__3[[#This Row],[aperture shift (% actuator pitch)]]&gt;10,DM_Control_Error_Param__3[[#This Row],[log-amplitude variance ]]&gt;0.1)</f>
        <v>1</v>
      </c>
    </row>
    <row r="9" spans="1:7" x14ac:dyDescent="0.25">
      <c r="A9" s="1" t="s">
        <v>10</v>
      </c>
      <c r="B9">
        <v>2</v>
      </c>
      <c r="C9">
        <v>30</v>
      </c>
      <c r="D9" s="1" t="s">
        <v>7</v>
      </c>
      <c r="E9">
        <v>14.6</v>
      </c>
      <c r="F9">
        <v>0.153</v>
      </c>
      <c r="G9" t="b">
        <f>OR(DM_Control_Error_Param__3[[#This Row],[aperture shift (% actuator pitch)]]&gt;10,DM_Control_Error_Param__3[[#This Row],[log-amplitude variance ]]&gt;0.1)</f>
        <v>1</v>
      </c>
    </row>
    <row r="10" spans="1:7" x14ac:dyDescent="0.25">
      <c r="A10" s="1" t="s">
        <v>10</v>
      </c>
      <c r="B10">
        <v>2</v>
      </c>
      <c r="C10">
        <v>45</v>
      </c>
      <c r="D10" s="1" t="s">
        <v>7</v>
      </c>
      <c r="E10">
        <v>20.3</v>
      </c>
      <c r="F10">
        <v>0.26800000000000002</v>
      </c>
      <c r="G10" t="b">
        <f>OR(DM_Control_Error_Param__3[[#This Row],[aperture shift (% actuator pitch)]]&gt;10,DM_Control_Error_Param__3[[#This Row],[log-amplitude variance ]]&gt;0.1)</f>
        <v>1</v>
      </c>
    </row>
    <row r="11" spans="1:7" x14ac:dyDescent="0.25">
      <c r="A11" s="1" t="s">
        <v>10</v>
      </c>
      <c r="B11">
        <v>2</v>
      </c>
      <c r="C11">
        <v>60</v>
      </c>
      <c r="D11" s="1" t="s">
        <v>7</v>
      </c>
      <c r="E11">
        <v>19</v>
      </c>
      <c r="F11">
        <v>0.25600000000000001</v>
      </c>
      <c r="G11" t="b">
        <f>OR(DM_Control_Error_Param__3[[#This Row],[aperture shift (% actuator pitch)]]&gt;10,DM_Control_Error_Param__3[[#This Row],[log-amplitude variance ]]&gt;0.1)</f>
        <v>1</v>
      </c>
    </row>
    <row r="12" spans="1:7" x14ac:dyDescent="0.25">
      <c r="A12" s="1" t="s">
        <v>10</v>
      </c>
      <c r="B12">
        <v>2</v>
      </c>
      <c r="C12">
        <v>70</v>
      </c>
      <c r="D12" s="1" t="s">
        <v>7</v>
      </c>
      <c r="E12">
        <v>20.8</v>
      </c>
      <c r="F12">
        <v>0.33</v>
      </c>
      <c r="G12" t="b">
        <f>OR(DM_Control_Error_Param__3[[#This Row],[aperture shift (% actuator pitch)]]&gt;10,DM_Control_Error_Param__3[[#This Row],[log-amplitude variance ]]&gt;0.1)</f>
        <v>1</v>
      </c>
    </row>
    <row r="13" spans="1:7" x14ac:dyDescent="0.25">
      <c r="A13" s="1" t="s">
        <v>10</v>
      </c>
      <c r="B13">
        <v>2</v>
      </c>
      <c r="C13">
        <v>80</v>
      </c>
      <c r="D13" s="1" t="s">
        <v>7</v>
      </c>
      <c r="E13">
        <v>30.5</v>
      </c>
      <c r="F13">
        <v>0.71199999999999997</v>
      </c>
      <c r="G13" t="b">
        <f>OR(DM_Control_Error_Param__3[[#This Row],[aperture shift (% actuator pitch)]]&gt;10,DM_Control_Error_Param__3[[#This Row],[log-amplitude variance ]]&gt;0.1)</f>
        <v>1</v>
      </c>
    </row>
    <row r="14" spans="1:7" x14ac:dyDescent="0.25">
      <c r="A14" s="1" t="s">
        <v>17</v>
      </c>
      <c r="B14">
        <v>3</v>
      </c>
      <c r="C14">
        <v>80</v>
      </c>
      <c r="D14" s="1" t="s">
        <v>7</v>
      </c>
      <c r="E14">
        <v>4.4000000000000004</v>
      </c>
      <c r="F14">
        <v>0.10299999999999999</v>
      </c>
      <c r="G14" t="b">
        <f>OR(DM_Control_Error_Param__3[[#This Row],[aperture shift (% actuator pitch)]]&gt;10,DM_Control_Error_Param__3[[#This Row],[log-amplitude variance ]]&gt;0.1)</f>
        <v>1</v>
      </c>
    </row>
    <row r="15" spans="1:7" x14ac:dyDescent="0.25">
      <c r="A15" s="1" t="s">
        <v>17</v>
      </c>
      <c r="B15">
        <v>2</v>
      </c>
      <c r="C15">
        <v>70</v>
      </c>
      <c r="D15" s="1" t="s">
        <v>7</v>
      </c>
      <c r="E15">
        <v>4.5999999999999996</v>
      </c>
      <c r="F15">
        <v>0.105</v>
      </c>
      <c r="G15" t="b">
        <f>OR(DM_Control_Error_Param__3[[#This Row],[aperture shift (% actuator pitch)]]&gt;10,DM_Control_Error_Param__3[[#This Row],[log-amplitude variance ]]&gt;0.1)</f>
        <v>1</v>
      </c>
    </row>
    <row r="16" spans="1:7" x14ac:dyDescent="0.25">
      <c r="A16" s="1" t="s">
        <v>17</v>
      </c>
      <c r="B16">
        <v>2</v>
      </c>
      <c r="C16">
        <v>80</v>
      </c>
      <c r="D16" s="1" t="s">
        <v>7</v>
      </c>
      <c r="E16">
        <v>6.2</v>
      </c>
      <c r="F16">
        <v>0.20300000000000001</v>
      </c>
      <c r="G16" t="b">
        <f>OR(DM_Control_Error_Param__3[[#This Row],[aperture shift (% actuator pitch)]]&gt;10,DM_Control_Error_Param__3[[#This Row],[log-amplitude variance ]]&gt;0.1)</f>
        <v>1</v>
      </c>
    </row>
    <row r="17" spans="1:7" x14ac:dyDescent="0.25">
      <c r="A17" s="1" t="s">
        <v>22</v>
      </c>
      <c r="B17">
        <v>5</v>
      </c>
      <c r="C17">
        <v>80</v>
      </c>
      <c r="D17" s="1" t="s">
        <v>25</v>
      </c>
      <c r="E17">
        <v>2</v>
      </c>
      <c r="F17">
        <v>0.124</v>
      </c>
      <c r="G17" t="b">
        <f>OR(DM_Control_Error_Param__3[[#This Row],[aperture shift (% actuator pitch)]]&gt;10,DM_Control_Error_Param__3[[#This Row],[log-amplitude variance ]]&gt;0.1)</f>
        <v>1</v>
      </c>
    </row>
    <row r="18" spans="1:7" x14ac:dyDescent="0.25">
      <c r="A18" s="1" t="s">
        <v>22</v>
      </c>
      <c r="B18">
        <v>3</v>
      </c>
      <c r="C18">
        <v>45</v>
      </c>
      <c r="D18" s="1" t="s">
        <v>25</v>
      </c>
      <c r="E18">
        <v>2.1</v>
      </c>
      <c r="F18">
        <v>0.125</v>
      </c>
      <c r="G18" t="b">
        <f>OR(DM_Control_Error_Param__3[[#This Row],[aperture shift (% actuator pitch)]]&gt;10,DM_Control_Error_Param__3[[#This Row],[log-amplitude variance ]]&gt;0.1)</f>
        <v>1</v>
      </c>
    </row>
    <row r="19" spans="1:7" x14ac:dyDescent="0.25">
      <c r="A19" s="1" t="s">
        <v>22</v>
      </c>
      <c r="B19">
        <v>3</v>
      </c>
      <c r="C19">
        <v>60</v>
      </c>
      <c r="D19" s="1" t="s">
        <v>25</v>
      </c>
      <c r="E19">
        <v>2</v>
      </c>
      <c r="F19">
        <v>0.11600000000000001</v>
      </c>
      <c r="G19" t="b">
        <f>OR(DM_Control_Error_Param__3[[#This Row],[aperture shift (% actuator pitch)]]&gt;10,DM_Control_Error_Param__3[[#This Row],[log-amplitude variance ]]&gt;0.1)</f>
        <v>1</v>
      </c>
    </row>
    <row r="20" spans="1:7" x14ac:dyDescent="0.25">
      <c r="A20" s="1" t="s">
        <v>22</v>
      </c>
      <c r="B20">
        <v>3</v>
      </c>
      <c r="C20">
        <v>70</v>
      </c>
      <c r="D20" s="1" t="s">
        <v>25</v>
      </c>
      <c r="E20">
        <v>2.2000000000000002</v>
      </c>
      <c r="F20">
        <v>0.14499999999999999</v>
      </c>
      <c r="G20" t="b">
        <f>OR(DM_Control_Error_Param__3[[#This Row],[aperture shift (% actuator pitch)]]&gt;10,DM_Control_Error_Param__3[[#This Row],[log-amplitude variance ]]&gt;0.1)</f>
        <v>1</v>
      </c>
    </row>
    <row r="21" spans="1:7" x14ac:dyDescent="0.25">
      <c r="A21" s="1" t="s">
        <v>22</v>
      </c>
      <c r="B21">
        <v>3</v>
      </c>
      <c r="C21">
        <v>80</v>
      </c>
      <c r="D21" s="1" t="s">
        <v>25</v>
      </c>
      <c r="E21">
        <v>3</v>
      </c>
      <c r="F21">
        <v>0.28999999999999998</v>
      </c>
      <c r="G21" t="b">
        <f>OR(DM_Control_Error_Param__3[[#This Row],[aperture shift (% actuator pitch)]]&gt;10,DM_Control_Error_Param__3[[#This Row],[log-amplitude variance ]]&gt;0.1)</f>
        <v>1</v>
      </c>
    </row>
    <row r="22" spans="1:7" x14ac:dyDescent="0.25">
      <c r="A22" s="1" t="s">
        <v>22</v>
      </c>
      <c r="B22">
        <v>2</v>
      </c>
      <c r="C22">
        <v>0</v>
      </c>
      <c r="D22" s="1" t="s">
        <v>25</v>
      </c>
      <c r="E22">
        <v>1.9</v>
      </c>
      <c r="F22">
        <v>0.106</v>
      </c>
      <c r="G22" t="b">
        <f>OR(DM_Control_Error_Param__3[[#This Row],[aperture shift (% actuator pitch)]]&gt;10,DM_Control_Error_Param__3[[#This Row],[log-amplitude variance ]]&gt;0.1)</f>
        <v>1</v>
      </c>
    </row>
    <row r="23" spans="1:7" x14ac:dyDescent="0.25">
      <c r="A23" s="1" t="s">
        <v>22</v>
      </c>
      <c r="B23">
        <v>2</v>
      </c>
      <c r="C23">
        <v>30</v>
      </c>
      <c r="D23" s="1" t="s">
        <v>25</v>
      </c>
      <c r="E23">
        <v>2.6</v>
      </c>
      <c r="F23">
        <v>0.19500000000000001</v>
      </c>
      <c r="G23" t="b">
        <f>OR(DM_Control_Error_Param__3[[#This Row],[aperture shift (% actuator pitch)]]&gt;10,DM_Control_Error_Param__3[[#This Row],[log-amplitude variance ]]&gt;0.1)</f>
        <v>1</v>
      </c>
    </row>
    <row r="24" spans="1:7" x14ac:dyDescent="0.25">
      <c r="A24" s="1" t="s">
        <v>22</v>
      </c>
      <c r="B24">
        <v>2</v>
      </c>
      <c r="C24">
        <v>45</v>
      </c>
      <c r="D24" s="1" t="s">
        <v>25</v>
      </c>
      <c r="E24">
        <v>2.9</v>
      </c>
      <c r="F24">
        <v>0.246</v>
      </c>
      <c r="G24" t="b">
        <f>OR(DM_Control_Error_Param__3[[#This Row],[aperture shift (% actuator pitch)]]&gt;10,DM_Control_Error_Param__3[[#This Row],[log-amplitude variance ]]&gt;0.1)</f>
        <v>1</v>
      </c>
    </row>
    <row r="25" spans="1:7" x14ac:dyDescent="0.25">
      <c r="A25" s="1" t="s">
        <v>22</v>
      </c>
      <c r="B25">
        <v>2</v>
      </c>
      <c r="C25">
        <v>60</v>
      </c>
      <c r="D25" s="1" t="s">
        <v>25</v>
      </c>
      <c r="E25">
        <v>2.8</v>
      </c>
      <c r="F25">
        <v>0.22700000000000001</v>
      </c>
      <c r="G25" t="b">
        <f>OR(DM_Control_Error_Param__3[[#This Row],[aperture shift (% actuator pitch)]]&gt;10,DM_Control_Error_Param__3[[#This Row],[log-amplitude variance ]]&gt;0.1)</f>
        <v>1</v>
      </c>
    </row>
    <row r="26" spans="1:7" x14ac:dyDescent="0.25">
      <c r="A26" s="1" t="s">
        <v>22</v>
      </c>
      <c r="B26">
        <v>2</v>
      </c>
      <c r="C26">
        <v>70</v>
      </c>
      <c r="D26" s="1" t="s">
        <v>25</v>
      </c>
      <c r="E26">
        <v>3.1</v>
      </c>
      <c r="F26">
        <v>0.28499999999999998</v>
      </c>
      <c r="G26" t="b">
        <f>OR(DM_Control_Error_Param__3[[#This Row],[aperture shift (% actuator pitch)]]&gt;10,DM_Control_Error_Param__3[[#This Row],[log-amplitude variance ]]&gt;0.1)</f>
        <v>1</v>
      </c>
    </row>
    <row r="27" spans="1:7" x14ac:dyDescent="0.25">
      <c r="A27" s="1" t="s">
        <v>22</v>
      </c>
      <c r="B27">
        <v>2</v>
      </c>
      <c r="C27">
        <v>80</v>
      </c>
      <c r="D27" s="1" t="s">
        <v>25</v>
      </c>
      <c r="E27">
        <v>4.3</v>
      </c>
      <c r="F27">
        <v>0.57099999999999995</v>
      </c>
      <c r="G27" t="b">
        <f>OR(DM_Control_Error_Param__3[[#This Row],[aperture shift (% actuator pitch)]]&gt;10,DM_Control_Error_Param__3[[#This Row],[log-amplitude variance ]]&gt;0.1)</f>
        <v>1</v>
      </c>
    </row>
    <row r="28" spans="1:7" x14ac:dyDescent="0.25">
      <c r="A28" s="1" t="s">
        <v>10</v>
      </c>
      <c r="B28">
        <v>3</v>
      </c>
      <c r="C28">
        <v>80</v>
      </c>
      <c r="D28" s="1" t="s">
        <v>12</v>
      </c>
      <c r="E28">
        <v>1.5</v>
      </c>
      <c r="F28">
        <v>0.10100000000000001</v>
      </c>
      <c r="G28" t="b">
        <f>OR(DM_Control_Error_Param__3[[#This Row],[aperture shift (% actuator pitch)]]&gt;10,DM_Control_Error_Param__3[[#This Row],[log-amplitude variance ]]&gt;0.1)</f>
        <v>1</v>
      </c>
    </row>
    <row r="29" spans="1:7" x14ac:dyDescent="0.25">
      <c r="A29" s="1" t="s">
        <v>10</v>
      </c>
      <c r="B29">
        <v>2</v>
      </c>
      <c r="C29">
        <v>80</v>
      </c>
      <c r="D29" s="1" t="s">
        <v>12</v>
      </c>
      <c r="E29">
        <v>2.1</v>
      </c>
      <c r="F29">
        <v>0.19900000000000001</v>
      </c>
      <c r="G29" t="b">
        <f>OR(DM_Control_Error_Param__3[[#This Row],[aperture shift (% actuator pitch)]]&gt;10,DM_Control_Error_Param__3[[#This Row],[log-amplitude variance ]]&gt;0.1)</f>
        <v>1</v>
      </c>
    </row>
    <row r="30" spans="1:7" x14ac:dyDescent="0.25">
      <c r="A30" s="1" t="s">
        <v>15</v>
      </c>
      <c r="B30">
        <v>3</v>
      </c>
      <c r="C30">
        <v>80</v>
      </c>
      <c r="D30" s="1" t="s">
        <v>12</v>
      </c>
      <c r="E30">
        <v>0.5</v>
      </c>
      <c r="F30">
        <v>0.13800000000000001</v>
      </c>
      <c r="G30" t="b">
        <f>OR(DM_Control_Error_Param__3[[#This Row],[aperture shift (% actuator pitch)]]&gt;10,DM_Control_Error_Param__3[[#This Row],[log-amplitude variance ]]&gt;0.1)</f>
        <v>1</v>
      </c>
    </row>
    <row r="31" spans="1:7" x14ac:dyDescent="0.25">
      <c r="A31" s="1" t="s">
        <v>15</v>
      </c>
      <c r="B31">
        <v>2</v>
      </c>
      <c r="C31">
        <v>70</v>
      </c>
      <c r="D31" s="1" t="s">
        <v>12</v>
      </c>
      <c r="E31">
        <v>0.5</v>
      </c>
      <c r="F31">
        <v>0.127</v>
      </c>
      <c r="G31" t="b">
        <f>OR(DM_Control_Error_Param__3[[#This Row],[aperture shift (% actuator pitch)]]&gt;10,DM_Control_Error_Param__3[[#This Row],[log-amplitude variance ]]&gt;0.1)</f>
        <v>1</v>
      </c>
    </row>
    <row r="32" spans="1:7" x14ac:dyDescent="0.25">
      <c r="A32" s="1" t="s">
        <v>15</v>
      </c>
      <c r="B32">
        <v>2</v>
      </c>
      <c r="C32">
        <v>80</v>
      </c>
      <c r="D32" s="1" t="s">
        <v>12</v>
      </c>
      <c r="E32">
        <v>0.7</v>
      </c>
      <c r="F32">
        <v>0.27100000000000002</v>
      </c>
      <c r="G32" t="b">
        <f>OR(DM_Control_Error_Param__3[[#This Row],[aperture shift (% actuator pitch)]]&gt;10,DM_Control_Error_Param__3[[#This Row],[log-amplitude variance ]]&gt;0.1)</f>
        <v>1</v>
      </c>
    </row>
    <row r="33" spans="1:7" x14ac:dyDescent="0.25">
      <c r="A33" s="1" t="s">
        <v>6</v>
      </c>
      <c r="B33">
        <v>2</v>
      </c>
      <c r="C33">
        <v>80</v>
      </c>
      <c r="D33" s="1" t="s">
        <v>9</v>
      </c>
      <c r="E33">
        <v>2.8</v>
      </c>
      <c r="F33">
        <v>0.18</v>
      </c>
      <c r="G33" t="b">
        <f>OR(DM_Control_Error_Param__3[[#This Row],[aperture shift (% actuator pitch)]]&gt;10,DM_Control_Error_Param__3[[#This Row],[log-amplitude variance ]]&gt;0.1)</f>
        <v>1</v>
      </c>
    </row>
    <row r="34" spans="1:7" x14ac:dyDescent="0.25">
      <c r="A34" s="1" t="s">
        <v>10</v>
      </c>
      <c r="B34">
        <v>3</v>
      </c>
      <c r="C34">
        <v>80</v>
      </c>
      <c r="D34" s="1" t="s">
        <v>13</v>
      </c>
      <c r="E34">
        <v>3.3</v>
      </c>
      <c r="F34">
        <v>0.185</v>
      </c>
      <c r="G34" t="b">
        <f>OR(DM_Control_Error_Param__3[[#This Row],[aperture shift (% actuator pitch)]]&gt;10,DM_Control_Error_Param__3[[#This Row],[log-amplitude variance ]]&gt;0.1)</f>
        <v>1</v>
      </c>
    </row>
    <row r="35" spans="1:7" x14ac:dyDescent="0.25">
      <c r="A35" s="1" t="s">
        <v>10</v>
      </c>
      <c r="B35">
        <v>2</v>
      </c>
      <c r="C35">
        <v>60</v>
      </c>
      <c r="D35" s="1" t="s">
        <v>13</v>
      </c>
      <c r="E35">
        <v>2.5</v>
      </c>
      <c r="F35">
        <v>0.105</v>
      </c>
      <c r="G35" t="b">
        <f>OR(DM_Control_Error_Param__3[[#This Row],[aperture shift (% actuator pitch)]]&gt;10,DM_Control_Error_Param__3[[#This Row],[log-amplitude variance ]]&gt;0.1)</f>
        <v>1</v>
      </c>
    </row>
    <row r="36" spans="1:7" x14ac:dyDescent="0.25">
      <c r="A36" s="1" t="s">
        <v>10</v>
      </c>
      <c r="B36">
        <v>2</v>
      </c>
      <c r="C36">
        <v>70</v>
      </c>
      <c r="D36" s="1" t="s">
        <v>13</v>
      </c>
      <c r="E36">
        <v>3.2</v>
      </c>
      <c r="F36">
        <v>0.17</v>
      </c>
      <c r="G36" t="b">
        <f>OR(DM_Control_Error_Param__3[[#This Row],[aperture shift (% actuator pitch)]]&gt;10,DM_Control_Error_Param__3[[#This Row],[log-amplitude variance ]]&gt;0.1)</f>
        <v>1</v>
      </c>
    </row>
    <row r="37" spans="1:7" x14ac:dyDescent="0.25">
      <c r="A37" s="1" t="s">
        <v>10</v>
      </c>
      <c r="B37">
        <v>2</v>
      </c>
      <c r="C37">
        <v>80</v>
      </c>
      <c r="D37" s="1" t="s">
        <v>13</v>
      </c>
      <c r="E37">
        <v>4.5999999999999996</v>
      </c>
      <c r="F37">
        <v>0.36299999999999999</v>
      </c>
      <c r="G37" t="b">
        <f>OR(DM_Control_Error_Param__3[[#This Row],[aperture shift (% actuator pitch)]]&gt;10,DM_Control_Error_Param__3[[#This Row],[log-amplitude variance ]]&gt;0.1)</f>
        <v>1</v>
      </c>
    </row>
    <row r="38" spans="1:7" x14ac:dyDescent="0.25">
      <c r="A38" s="1" t="s">
        <v>17</v>
      </c>
      <c r="B38">
        <v>2</v>
      </c>
      <c r="C38">
        <v>80</v>
      </c>
      <c r="D38" s="1" t="s">
        <v>19</v>
      </c>
      <c r="E38">
        <v>2.2999999999999998</v>
      </c>
      <c r="F38">
        <v>0.11799999999999999</v>
      </c>
      <c r="G38" t="b">
        <f>OR(DM_Control_Error_Param__3[[#This Row],[aperture shift (% actuator pitch)]]&gt;10,DM_Control_Error_Param__3[[#This Row],[log-amplitude variance ]]&gt;0.1)</f>
        <v>1</v>
      </c>
    </row>
    <row r="39" spans="1:7" x14ac:dyDescent="0.25">
      <c r="A39" s="1" t="s">
        <v>22</v>
      </c>
      <c r="B39">
        <v>3</v>
      </c>
      <c r="C39">
        <v>80</v>
      </c>
      <c r="D39" s="1" t="s">
        <v>24</v>
      </c>
      <c r="E39">
        <v>0.6</v>
      </c>
      <c r="F39">
        <v>0.155</v>
      </c>
      <c r="G39" t="b">
        <f>OR(DM_Control_Error_Param__3[[#This Row],[aperture shift (% actuator pitch)]]&gt;10,DM_Control_Error_Param__3[[#This Row],[log-amplitude variance ]]&gt;0.1)</f>
        <v>1</v>
      </c>
    </row>
    <row r="40" spans="1:7" x14ac:dyDescent="0.25">
      <c r="A40" s="1" t="s">
        <v>22</v>
      </c>
      <c r="B40">
        <v>2</v>
      </c>
      <c r="C40">
        <v>70</v>
      </c>
      <c r="D40" s="1" t="s">
        <v>24</v>
      </c>
      <c r="E40">
        <v>0.5</v>
      </c>
      <c r="F40">
        <v>0.122</v>
      </c>
      <c r="G40" t="b">
        <f>OR(DM_Control_Error_Param__3[[#This Row],[aperture shift (% actuator pitch)]]&gt;10,DM_Control_Error_Param__3[[#This Row],[log-amplitude variance ]]&gt;0.1)</f>
        <v>1</v>
      </c>
    </row>
    <row r="41" spans="1:7" x14ac:dyDescent="0.25">
      <c r="A41" s="1" t="s">
        <v>22</v>
      </c>
      <c r="B41">
        <v>2</v>
      </c>
      <c r="C41">
        <v>80</v>
      </c>
      <c r="D41" s="1" t="s">
        <v>24</v>
      </c>
      <c r="E41">
        <v>0.8</v>
      </c>
      <c r="F41">
        <v>0.30499999999999999</v>
      </c>
      <c r="G41" t="b">
        <f>OR(DM_Control_Error_Param__3[[#This Row],[aperture shift (% actuator pitch)]]&gt;10,DM_Control_Error_Param__3[[#This Row],[log-amplitude variance ]]&gt;0.1)</f>
        <v>1</v>
      </c>
    </row>
    <row r="42" spans="1:7" x14ac:dyDescent="0.25">
      <c r="A42" s="1" t="s">
        <v>10</v>
      </c>
      <c r="B42">
        <v>5</v>
      </c>
      <c r="C42">
        <v>80</v>
      </c>
      <c r="D42" s="1" t="s">
        <v>14</v>
      </c>
      <c r="E42">
        <v>2.2999999999999998</v>
      </c>
      <c r="F42">
        <v>0.109</v>
      </c>
      <c r="G42" t="b">
        <f>OR(DM_Control_Error_Param__3[[#This Row],[aperture shift (% actuator pitch)]]&gt;10,DM_Control_Error_Param__3[[#This Row],[log-amplitude variance ]]&gt;0.1)</f>
        <v>1</v>
      </c>
    </row>
    <row r="43" spans="1:7" x14ac:dyDescent="0.25">
      <c r="A43" s="1" t="s">
        <v>10</v>
      </c>
      <c r="B43">
        <v>3</v>
      </c>
      <c r="C43">
        <v>70</v>
      </c>
      <c r="D43" s="1" t="s">
        <v>14</v>
      </c>
      <c r="E43">
        <v>2.4</v>
      </c>
      <c r="F43">
        <v>0.11700000000000001</v>
      </c>
      <c r="G43" t="b">
        <f>OR(DM_Control_Error_Param__3[[#This Row],[aperture shift (% actuator pitch)]]&gt;10,DM_Control_Error_Param__3[[#This Row],[log-amplitude variance ]]&gt;0.1)</f>
        <v>1</v>
      </c>
    </row>
    <row r="44" spans="1:7" x14ac:dyDescent="0.25">
      <c r="A44" s="1" t="s">
        <v>10</v>
      </c>
      <c r="B44">
        <v>3</v>
      </c>
      <c r="C44">
        <v>80</v>
      </c>
      <c r="D44" s="1" t="s">
        <v>14</v>
      </c>
      <c r="E44">
        <v>3.6</v>
      </c>
      <c r="F44">
        <v>0.25600000000000001</v>
      </c>
      <c r="G44" t="b">
        <f>OR(DM_Control_Error_Param__3[[#This Row],[aperture shift (% actuator pitch)]]&gt;10,DM_Control_Error_Param__3[[#This Row],[log-amplitude variance ]]&gt;0.1)</f>
        <v>1</v>
      </c>
    </row>
    <row r="45" spans="1:7" x14ac:dyDescent="0.25">
      <c r="A45" s="1" t="s">
        <v>10</v>
      </c>
      <c r="B45">
        <v>2</v>
      </c>
      <c r="C45">
        <v>0</v>
      </c>
      <c r="D45" s="1" t="s">
        <v>14</v>
      </c>
      <c r="E45">
        <v>2.8</v>
      </c>
      <c r="F45">
        <v>0.13500000000000001</v>
      </c>
      <c r="G45" t="b">
        <f>OR(DM_Control_Error_Param__3[[#This Row],[aperture shift (% actuator pitch)]]&gt;10,DM_Control_Error_Param__3[[#This Row],[log-amplitude variance ]]&gt;0.1)</f>
        <v>1</v>
      </c>
    </row>
    <row r="46" spans="1:7" x14ac:dyDescent="0.25">
      <c r="A46" s="1" t="s">
        <v>10</v>
      </c>
      <c r="B46">
        <v>2</v>
      </c>
      <c r="C46">
        <v>30</v>
      </c>
      <c r="D46" s="1" t="s">
        <v>14</v>
      </c>
      <c r="E46">
        <v>2.4</v>
      </c>
      <c r="F46">
        <v>0.104</v>
      </c>
      <c r="G46" t="b">
        <f>OR(DM_Control_Error_Param__3[[#This Row],[aperture shift (% actuator pitch)]]&gt;10,DM_Control_Error_Param__3[[#This Row],[log-amplitude variance ]]&gt;0.1)</f>
        <v>1</v>
      </c>
    </row>
    <row r="47" spans="1:7" x14ac:dyDescent="0.25">
      <c r="A47" s="1" t="s">
        <v>10</v>
      </c>
      <c r="B47">
        <v>2</v>
      </c>
      <c r="C47">
        <v>45</v>
      </c>
      <c r="D47" s="1" t="s">
        <v>14</v>
      </c>
      <c r="E47">
        <v>2.4</v>
      </c>
      <c r="F47">
        <v>0.107</v>
      </c>
      <c r="G47" t="b">
        <f>OR(DM_Control_Error_Param__3[[#This Row],[aperture shift (% actuator pitch)]]&gt;10,DM_Control_Error_Param__3[[#This Row],[log-amplitude variance ]]&gt;0.1)</f>
        <v>1</v>
      </c>
    </row>
    <row r="48" spans="1:7" x14ac:dyDescent="0.25">
      <c r="A48" s="1" t="s">
        <v>10</v>
      </c>
      <c r="B48">
        <v>2</v>
      </c>
      <c r="C48">
        <v>60</v>
      </c>
      <c r="D48" s="1" t="s">
        <v>14</v>
      </c>
      <c r="E48">
        <v>2.7</v>
      </c>
      <c r="F48">
        <v>0.14899999999999999</v>
      </c>
      <c r="G48" t="b">
        <f>OR(DM_Control_Error_Param__3[[#This Row],[aperture shift (% actuator pitch)]]&gt;10,DM_Control_Error_Param__3[[#This Row],[log-amplitude variance ]]&gt;0.1)</f>
        <v>1</v>
      </c>
    </row>
    <row r="49" spans="1:7" x14ac:dyDescent="0.25">
      <c r="A49" s="1" t="s">
        <v>10</v>
      </c>
      <c r="B49">
        <v>2</v>
      </c>
      <c r="C49">
        <v>70</v>
      </c>
      <c r="D49" s="1" t="s">
        <v>14</v>
      </c>
      <c r="E49">
        <v>3.4</v>
      </c>
      <c r="F49">
        <v>0.23100000000000001</v>
      </c>
      <c r="G49" t="b">
        <f>OR(DM_Control_Error_Param__3[[#This Row],[aperture shift (% actuator pitch)]]&gt;10,DM_Control_Error_Param__3[[#This Row],[log-amplitude variance ]]&gt;0.1)</f>
        <v>1</v>
      </c>
    </row>
    <row r="50" spans="1:7" x14ac:dyDescent="0.25">
      <c r="A50" s="1" t="s">
        <v>10</v>
      </c>
      <c r="B50">
        <v>2</v>
      </c>
      <c r="C50">
        <v>80</v>
      </c>
      <c r="D50" s="1" t="s">
        <v>14</v>
      </c>
      <c r="E50">
        <v>5</v>
      </c>
      <c r="F50">
        <v>0.504</v>
      </c>
      <c r="G50" t="b">
        <f>OR(DM_Control_Error_Param__3[[#This Row],[aperture shift (% actuator pitch)]]&gt;10,DM_Control_Error_Param__3[[#This Row],[log-amplitude variance ]]&gt;0.1)</f>
        <v>1</v>
      </c>
    </row>
    <row r="51" spans="1:7" x14ac:dyDescent="0.25">
      <c r="A51" s="1" t="s">
        <v>6</v>
      </c>
      <c r="B51">
        <v>14</v>
      </c>
      <c r="C51">
        <v>0</v>
      </c>
      <c r="D51" s="1" t="s">
        <v>7</v>
      </c>
      <c r="E51">
        <v>0</v>
      </c>
      <c r="F51">
        <v>0</v>
      </c>
      <c r="G51" t="b">
        <f>OR(DM_Control_Error_Param__3[[#This Row],[aperture shift (% actuator pitch)]]&gt;10,DM_Control_Error_Param__3[[#This Row],[log-amplitude variance ]]&gt;0.1)</f>
        <v>0</v>
      </c>
    </row>
    <row r="52" spans="1:7" x14ac:dyDescent="0.25">
      <c r="A52" s="1" t="s">
        <v>6</v>
      </c>
      <c r="B52">
        <v>14</v>
      </c>
      <c r="C52">
        <v>30</v>
      </c>
      <c r="D52" s="1" t="s">
        <v>7</v>
      </c>
      <c r="E52">
        <v>0</v>
      </c>
      <c r="F52">
        <v>0</v>
      </c>
      <c r="G52" t="b">
        <f>OR(DM_Control_Error_Param__3[[#This Row],[aperture shift (% actuator pitch)]]&gt;10,DM_Control_Error_Param__3[[#This Row],[log-amplitude variance ]]&gt;0.1)</f>
        <v>0</v>
      </c>
    </row>
    <row r="53" spans="1:7" x14ac:dyDescent="0.25">
      <c r="A53" s="1" t="s">
        <v>6</v>
      </c>
      <c r="B53">
        <v>14</v>
      </c>
      <c r="C53">
        <v>45</v>
      </c>
      <c r="D53" s="1" t="s">
        <v>7</v>
      </c>
      <c r="E53">
        <v>0</v>
      </c>
      <c r="F53">
        <v>0</v>
      </c>
      <c r="G53" t="b">
        <f>OR(DM_Control_Error_Param__3[[#This Row],[aperture shift (% actuator pitch)]]&gt;10,DM_Control_Error_Param__3[[#This Row],[log-amplitude variance ]]&gt;0.1)</f>
        <v>0</v>
      </c>
    </row>
    <row r="54" spans="1:7" x14ac:dyDescent="0.25">
      <c r="A54" s="1" t="s">
        <v>6</v>
      </c>
      <c r="B54">
        <v>14</v>
      </c>
      <c r="C54">
        <v>60</v>
      </c>
      <c r="D54" s="1" t="s">
        <v>7</v>
      </c>
      <c r="E54">
        <v>0</v>
      </c>
      <c r="F54">
        <v>0</v>
      </c>
      <c r="G54" t="b">
        <f>OR(DM_Control_Error_Param__3[[#This Row],[aperture shift (% actuator pitch)]]&gt;10,DM_Control_Error_Param__3[[#This Row],[log-amplitude variance ]]&gt;0.1)</f>
        <v>0</v>
      </c>
    </row>
    <row r="55" spans="1:7" x14ac:dyDescent="0.25">
      <c r="A55" s="1" t="s">
        <v>6</v>
      </c>
      <c r="B55">
        <v>14</v>
      </c>
      <c r="C55">
        <v>70</v>
      </c>
      <c r="D55" s="1" t="s">
        <v>7</v>
      </c>
      <c r="E55">
        <v>0</v>
      </c>
      <c r="F55">
        <v>0</v>
      </c>
      <c r="G55" t="b">
        <f>OR(DM_Control_Error_Param__3[[#This Row],[aperture shift (% actuator pitch)]]&gt;10,DM_Control_Error_Param__3[[#This Row],[log-amplitude variance ]]&gt;0.1)</f>
        <v>0</v>
      </c>
    </row>
    <row r="56" spans="1:7" x14ac:dyDescent="0.25">
      <c r="A56" s="1" t="s">
        <v>6</v>
      </c>
      <c r="B56">
        <v>14</v>
      </c>
      <c r="C56">
        <v>80</v>
      </c>
      <c r="D56" s="1" t="s">
        <v>7</v>
      </c>
      <c r="E56">
        <v>0</v>
      </c>
      <c r="F56">
        <v>0</v>
      </c>
      <c r="G56" t="b">
        <f>OR(DM_Control_Error_Param__3[[#This Row],[aperture shift (% actuator pitch)]]&gt;10,DM_Control_Error_Param__3[[#This Row],[log-amplitude variance ]]&gt;0.1)</f>
        <v>0</v>
      </c>
    </row>
    <row r="57" spans="1:7" x14ac:dyDescent="0.25">
      <c r="A57" s="1" t="s">
        <v>6</v>
      </c>
      <c r="B57">
        <v>11</v>
      </c>
      <c r="C57">
        <v>0</v>
      </c>
      <c r="D57" s="1" t="s">
        <v>7</v>
      </c>
      <c r="E57">
        <v>0</v>
      </c>
      <c r="F57">
        <v>0</v>
      </c>
      <c r="G57" t="b">
        <f>OR(DM_Control_Error_Param__3[[#This Row],[aperture shift (% actuator pitch)]]&gt;10,DM_Control_Error_Param__3[[#This Row],[log-amplitude variance ]]&gt;0.1)</f>
        <v>0</v>
      </c>
    </row>
    <row r="58" spans="1:7" x14ac:dyDescent="0.25">
      <c r="A58" s="1" t="s">
        <v>6</v>
      </c>
      <c r="B58">
        <v>11</v>
      </c>
      <c r="C58">
        <v>30</v>
      </c>
      <c r="D58" s="1" t="s">
        <v>7</v>
      </c>
      <c r="E58">
        <v>0</v>
      </c>
      <c r="F58">
        <v>0</v>
      </c>
      <c r="G58" t="b">
        <f>OR(DM_Control_Error_Param__3[[#This Row],[aperture shift (% actuator pitch)]]&gt;10,DM_Control_Error_Param__3[[#This Row],[log-amplitude variance ]]&gt;0.1)</f>
        <v>0</v>
      </c>
    </row>
    <row r="59" spans="1:7" x14ac:dyDescent="0.25">
      <c r="A59" s="1" t="s">
        <v>6</v>
      </c>
      <c r="B59">
        <v>11</v>
      </c>
      <c r="C59">
        <v>45</v>
      </c>
      <c r="D59" s="1" t="s">
        <v>7</v>
      </c>
      <c r="E59">
        <v>0</v>
      </c>
      <c r="F59">
        <v>0</v>
      </c>
      <c r="G59" t="b">
        <f>OR(DM_Control_Error_Param__3[[#This Row],[aperture shift (% actuator pitch)]]&gt;10,DM_Control_Error_Param__3[[#This Row],[log-amplitude variance ]]&gt;0.1)</f>
        <v>0</v>
      </c>
    </row>
    <row r="60" spans="1:7" x14ac:dyDescent="0.25">
      <c r="A60" s="1" t="s">
        <v>6</v>
      </c>
      <c r="B60">
        <v>11</v>
      </c>
      <c r="C60">
        <v>60</v>
      </c>
      <c r="D60" s="1" t="s">
        <v>7</v>
      </c>
      <c r="E60">
        <v>0</v>
      </c>
      <c r="F60">
        <v>0</v>
      </c>
      <c r="G60" t="b">
        <f>OR(DM_Control_Error_Param__3[[#This Row],[aperture shift (% actuator pitch)]]&gt;10,DM_Control_Error_Param__3[[#This Row],[log-amplitude variance ]]&gt;0.1)</f>
        <v>0</v>
      </c>
    </row>
    <row r="61" spans="1:7" x14ac:dyDescent="0.25">
      <c r="A61" s="1" t="s">
        <v>6</v>
      </c>
      <c r="B61">
        <v>11</v>
      </c>
      <c r="C61">
        <v>70</v>
      </c>
      <c r="D61" s="1" t="s">
        <v>7</v>
      </c>
      <c r="E61">
        <v>0</v>
      </c>
      <c r="F61">
        <v>0</v>
      </c>
      <c r="G61" t="b">
        <f>OR(DM_Control_Error_Param__3[[#This Row],[aperture shift (% actuator pitch)]]&gt;10,DM_Control_Error_Param__3[[#This Row],[log-amplitude variance ]]&gt;0.1)</f>
        <v>0</v>
      </c>
    </row>
    <row r="62" spans="1:7" x14ac:dyDescent="0.25">
      <c r="A62" s="1" t="s">
        <v>6</v>
      </c>
      <c r="B62">
        <v>11</v>
      </c>
      <c r="C62">
        <v>80</v>
      </c>
      <c r="D62" s="1" t="s">
        <v>7</v>
      </c>
      <c r="E62">
        <v>0</v>
      </c>
      <c r="F62">
        <v>0</v>
      </c>
      <c r="G62" t="b">
        <f>OR(DM_Control_Error_Param__3[[#This Row],[aperture shift (% actuator pitch)]]&gt;10,DM_Control_Error_Param__3[[#This Row],[log-amplitude variance ]]&gt;0.1)</f>
        <v>0</v>
      </c>
    </row>
    <row r="63" spans="1:7" x14ac:dyDescent="0.25">
      <c r="A63" s="1" t="s">
        <v>6</v>
      </c>
      <c r="B63">
        <v>8</v>
      </c>
      <c r="C63">
        <v>0</v>
      </c>
      <c r="D63" s="1" t="s">
        <v>7</v>
      </c>
      <c r="E63">
        <v>0</v>
      </c>
      <c r="F63">
        <v>0</v>
      </c>
      <c r="G63" t="b">
        <f>OR(DM_Control_Error_Param__3[[#This Row],[aperture shift (% actuator pitch)]]&gt;10,DM_Control_Error_Param__3[[#This Row],[log-amplitude variance ]]&gt;0.1)</f>
        <v>0</v>
      </c>
    </row>
    <row r="64" spans="1:7" x14ac:dyDescent="0.25">
      <c r="A64" s="1" t="s">
        <v>6</v>
      </c>
      <c r="B64">
        <v>8</v>
      </c>
      <c r="C64">
        <v>30</v>
      </c>
      <c r="D64" s="1" t="s">
        <v>7</v>
      </c>
      <c r="E64">
        <v>0</v>
      </c>
      <c r="F64">
        <v>0</v>
      </c>
      <c r="G64" t="b">
        <f>OR(DM_Control_Error_Param__3[[#This Row],[aperture shift (% actuator pitch)]]&gt;10,DM_Control_Error_Param__3[[#This Row],[log-amplitude variance ]]&gt;0.1)</f>
        <v>0</v>
      </c>
    </row>
    <row r="65" spans="1:7" x14ac:dyDescent="0.25">
      <c r="A65" s="1" t="s">
        <v>6</v>
      </c>
      <c r="B65">
        <v>8</v>
      </c>
      <c r="C65">
        <v>45</v>
      </c>
      <c r="D65" s="1" t="s">
        <v>7</v>
      </c>
      <c r="E65">
        <v>0</v>
      </c>
      <c r="F65">
        <v>0</v>
      </c>
      <c r="G65" t="b">
        <f>OR(DM_Control_Error_Param__3[[#This Row],[aperture shift (% actuator pitch)]]&gt;10,DM_Control_Error_Param__3[[#This Row],[log-amplitude variance ]]&gt;0.1)</f>
        <v>0</v>
      </c>
    </row>
    <row r="66" spans="1:7" x14ac:dyDescent="0.25">
      <c r="A66" s="1" t="s">
        <v>6</v>
      </c>
      <c r="B66">
        <v>8</v>
      </c>
      <c r="C66">
        <v>60</v>
      </c>
      <c r="D66" s="1" t="s">
        <v>7</v>
      </c>
      <c r="E66">
        <v>0</v>
      </c>
      <c r="F66">
        <v>0</v>
      </c>
      <c r="G66" t="b">
        <f>OR(DM_Control_Error_Param__3[[#This Row],[aperture shift (% actuator pitch)]]&gt;10,DM_Control_Error_Param__3[[#This Row],[log-amplitude variance ]]&gt;0.1)</f>
        <v>0</v>
      </c>
    </row>
    <row r="67" spans="1:7" x14ac:dyDescent="0.25">
      <c r="A67" s="1" t="s">
        <v>6</v>
      </c>
      <c r="B67">
        <v>8</v>
      </c>
      <c r="C67">
        <v>70</v>
      </c>
      <c r="D67" s="1" t="s">
        <v>7</v>
      </c>
      <c r="E67">
        <v>0</v>
      </c>
      <c r="F67">
        <v>0</v>
      </c>
      <c r="G67" t="b">
        <f>OR(DM_Control_Error_Param__3[[#This Row],[aperture shift (% actuator pitch)]]&gt;10,DM_Control_Error_Param__3[[#This Row],[log-amplitude variance ]]&gt;0.1)</f>
        <v>0</v>
      </c>
    </row>
    <row r="68" spans="1:7" x14ac:dyDescent="0.25">
      <c r="A68" s="1" t="s">
        <v>6</v>
      </c>
      <c r="B68">
        <v>8</v>
      </c>
      <c r="C68">
        <v>80</v>
      </c>
      <c r="D68" s="1" t="s">
        <v>7</v>
      </c>
      <c r="E68">
        <v>0</v>
      </c>
      <c r="F68">
        <v>0</v>
      </c>
      <c r="G68" t="b">
        <f>OR(DM_Control_Error_Param__3[[#This Row],[aperture shift (% actuator pitch)]]&gt;10,DM_Control_Error_Param__3[[#This Row],[log-amplitude variance ]]&gt;0.1)</f>
        <v>0</v>
      </c>
    </row>
    <row r="69" spans="1:7" x14ac:dyDescent="0.25">
      <c r="A69" s="1" t="s">
        <v>6</v>
      </c>
      <c r="B69">
        <v>5</v>
      </c>
      <c r="C69">
        <v>0</v>
      </c>
      <c r="D69" s="1" t="s">
        <v>7</v>
      </c>
      <c r="E69">
        <v>0</v>
      </c>
      <c r="F69">
        <v>0</v>
      </c>
      <c r="G69" t="b">
        <f>OR(DM_Control_Error_Param__3[[#This Row],[aperture shift (% actuator pitch)]]&gt;10,DM_Control_Error_Param__3[[#This Row],[log-amplitude variance ]]&gt;0.1)</f>
        <v>0</v>
      </c>
    </row>
    <row r="70" spans="1:7" x14ac:dyDescent="0.25">
      <c r="A70" s="1" t="s">
        <v>6</v>
      </c>
      <c r="B70">
        <v>5</v>
      </c>
      <c r="C70">
        <v>30</v>
      </c>
      <c r="D70" s="1" t="s">
        <v>7</v>
      </c>
      <c r="E70">
        <v>0</v>
      </c>
      <c r="F70">
        <v>0</v>
      </c>
      <c r="G70" t="b">
        <f>OR(DM_Control_Error_Param__3[[#This Row],[aperture shift (% actuator pitch)]]&gt;10,DM_Control_Error_Param__3[[#This Row],[log-amplitude variance ]]&gt;0.1)</f>
        <v>0</v>
      </c>
    </row>
    <row r="71" spans="1:7" x14ac:dyDescent="0.25">
      <c r="A71" s="1" t="s">
        <v>6</v>
      </c>
      <c r="B71">
        <v>5</v>
      </c>
      <c r="C71">
        <v>45</v>
      </c>
      <c r="D71" s="1" t="s">
        <v>7</v>
      </c>
      <c r="E71">
        <v>0</v>
      </c>
      <c r="F71">
        <v>0</v>
      </c>
      <c r="G71" t="b">
        <f>OR(DM_Control_Error_Param__3[[#This Row],[aperture shift (% actuator pitch)]]&gt;10,DM_Control_Error_Param__3[[#This Row],[log-amplitude variance ]]&gt;0.1)</f>
        <v>0</v>
      </c>
    </row>
    <row r="72" spans="1:7" x14ac:dyDescent="0.25">
      <c r="A72" s="1" t="s">
        <v>6</v>
      </c>
      <c r="B72">
        <v>5</v>
      </c>
      <c r="C72">
        <v>60</v>
      </c>
      <c r="D72" s="1" t="s">
        <v>7</v>
      </c>
      <c r="E72">
        <v>0</v>
      </c>
      <c r="F72">
        <v>0</v>
      </c>
      <c r="G72" t="b">
        <f>OR(DM_Control_Error_Param__3[[#This Row],[aperture shift (% actuator pitch)]]&gt;10,DM_Control_Error_Param__3[[#This Row],[log-amplitude variance ]]&gt;0.1)</f>
        <v>0</v>
      </c>
    </row>
    <row r="73" spans="1:7" x14ac:dyDescent="0.25">
      <c r="A73" s="1" t="s">
        <v>6</v>
      </c>
      <c r="B73">
        <v>5</v>
      </c>
      <c r="C73">
        <v>70</v>
      </c>
      <c r="D73" s="1" t="s">
        <v>7</v>
      </c>
      <c r="E73">
        <v>0</v>
      </c>
      <c r="F73">
        <v>0</v>
      </c>
      <c r="G73" t="b">
        <f>OR(DM_Control_Error_Param__3[[#This Row],[aperture shift (% actuator pitch)]]&gt;10,DM_Control_Error_Param__3[[#This Row],[log-amplitude variance ]]&gt;0.1)</f>
        <v>0</v>
      </c>
    </row>
    <row r="74" spans="1:7" x14ac:dyDescent="0.25">
      <c r="A74" s="1" t="s">
        <v>6</v>
      </c>
      <c r="B74">
        <v>5</v>
      </c>
      <c r="C74">
        <v>80</v>
      </c>
      <c r="D74" s="1" t="s">
        <v>7</v>
      </c>
      <c r="E74">
        <v>0</v>
      </c>
      <c r="F74">
        <v>0</v>
      </c>
      <c r="G74" t="b">
        <f>OR(DM_Control_Error_Param__3[[#This Row],[aperture shift (% actuator pitch)]]&gt;10,DM_Control_Error_Param__3[[#This Row],[log-amplitude variance ]]&gt;0.1)</f>
        <v>0</v>
      </c>
    </row>
    <row r="75" spans="1:7" x14ac:dyDescent="0.25">
      <c r="A75" s="1" t="s">
        <v>6</v>
      </c>
      <c r="B75">
        <v>3</v>
      </c>
      <c r="C75">
        <v>0</v>
      </c>
      <c r="D75" s="1" t="s">
        <v>7</v>
      </c>
      <c r="E75">
        <v>0</v>
      </c>
      <c r="F75">
        <v>0</v>
      </c>
      <c r="G75" t="b">
        <f>OR(DM_Control_Error_Param__3[[#This Row],[aperture shift (% actuator pitch)]]&gt;10,DM_Control_Error_Param__3[[#This Row],[log-amplitude variance ]]&gt;0.1)</f>
        <v>0</v>
      </c>
    </row>
    <row r="76" spans="1:7" x14ac:dyDescent="0.25">
      <c r="A76" s="1" t="s">
        <v>6</v>
      </c>
      <c r="B76">
        <v>3</v>
      </c>
      <c r="C76">
        <v>30</v>
      </c>
      <c r="D76" s="1" t="s">
        <v>7</v>
      </c>
      <c r="E76">
        <v>0</v>
      </c>
      <c r="F76">
        <v>0</v>
      </c>
      <c r="G76" t="b">
        <f>OR(DM_Control_Error_Param__3[[#This Row],[aperture shift (% actuator pitch)]]&gt;10,DM_Control_Error_Param__3[[#This Row],[log-amplitude variance ]]&gt;0.1)</f>
        <v>0</v>
      </c>
    </row>
    <row r="77" spans="1:7" x14ac:dyDescent="0.25">
      <c r="A77" s="1" t="s">
        <v>6</v>
      </c>
      <c r="B77">
        <v>3</v>
      </c>
      <c r="C77">
        <v>45</v>
      </c>
      <c r="D77" s="1" t="s">
        <v>7</v>
      </c>
      <c r="E77">
        <v>0</v>
      </c>
      <c r="F77">
        <v>0</v>
      </c>
      <c r="G77" t="b">
        <f>OR(DM_Control_Error_Param__3[[#This Row],[aperture shift (% actuator pitch)]]&gt;10,DM_Control_Error_Param__3[[#This Row],[log-amplitude variance ]]&gt;0.1)</f>
        <v>0</v>
      </c>
    </row>
    <row r="78" spans="1:7" x14ac:dyDescent="0.25">
      <c r="A78" s="1" t="s">
        <v>6</v>
      </c>
      <c r="B78">
        <v>3</v>
      </c>
      <c r="C78">
        <v>60</v>
      </c>
      <c r="D78" s="1" t="s">
        <v>7</v>
      </c>
      <c r="E78">
        <v>0</v>
      </c>
      <c r="F78">
        <v>0</v>
      </c>
      <c r="G78" t="b">
        <f>OR(DM_Control_Error_Param__3[[#This Row],[aperture shift (% actuator pitch)]]&gt;10,DM_Control_Error_Param__3[[#This Row],[log-amplitude variance ]]&gt;0.1)</f>
        <v>0</v>
      </c>
    </row>
    <row r="79" spans="1:7" x14ac:dyDescent="0.25">
      <c r="A79" s="1" t="s">
        <v>6</v>
      </c>
      <c r="B79">
        <v>3</v>
      </c>
      <c r="C79">
        <v>70</v>
      </c>
      <c r="D79" s="1" t="s">
        <v>7</v>
      </c>
      <c r="E79">
        <v>0</v>
      </c>
      <c r="F79">
        <v>0</v>
      </c>
      <c r="G79" t="b">
        <f>OR(DM_Control_Error_Param__3[[#This Row],[aperture shift (% actuator pitch)]]&gt;10,DM_Control_Error_Param__3[[#This Row],[log-amplitude variance ]]&gt;0.1)</f>
        <v>0</v>
      </c>
    </row>
    <row r="80" spans="1:7" x14ac:dyDescent="0.25">
      <c r="A80" s="1" t="s">
        <v>6</v>
      </c>
      <c r="B80">
        <v>3</v>
      </c>
      <c r="C80">
        <v>80</v>
      </c>
      <c r="D80" s="1" t="s">
        <v>7</v>
      </c>
      <c r="E80">
        <v>0</v>
      </c>
      <c r="F80">
        <v>0</v>
      </c>
      <c r="G80" t="b">
        <f>OR(DM_Control_Error_Param__3[[#This Row],[aperture shift (% actuator pitch)]]&gt;10,DM_Control_Error_Param__3[[#This Row],[log-amplitude variance ]]&gt;0.1)</f>
        <v>0</v>
      </c>
    </row>
    <row r="81" spans="1:7" x14ac:dyDescent="0.25">
      <c r="A81" s="1" t="s">
        <v>6</v>
      </c>
      <c r="B81">
        <v>2</v>
      </c>
      <c r="C81">
        <v>0</v>
      </c>
      <c r="D81" s="1" t="s">
        <v>7</v>
      </c>
      <c r="E81">
        <v>0</v>
      </c>
      <c r="F81">
        <v>0</v>
      </c>
      <c r="G81" t="b">
        <f>OR(DM_Control_Error_Param__3[[#This Row],[aperture shift (% actuator pitch)]]&gt;10,DM_Control_Error_Param__3[[#This Row],[log-amplitude variance ]]&gt;0.1)</f>
        <v>0</v>
      </c>
    </row>
    <row r="82" spans="1:7" x14ac:dyDescent="0.25">
      <c r="A82" s="1" t="s">
        <v>6</v>
      </c>
      <c r="B82">
        <v>2</v>
      </c>
      <c r="C82">
        <v>30</v>
      </c>
      <c r="D82" s="1" t="s">
        <v>7</v>
      </c>
      <c r="E82">
        <v>0</v>
      </c>
      <c r="F82">
        <v>0</v>
      </c>
      <c r="G82" t="b">
        <f>OR(DM_Control_Error_Param__3[[#This Row],[aperture shift (% actuator pitch)]]&gt;10,DM_Control_Error_Param__3[[#This Row],[log-amplitude variance ]]&gt;0.1)</f>
        <v>0</v>
      </c>
    </row>
    <row r="83" spans="1:7" x14ac:dyDescent="0.25">
      <c r="A83" s="1" t="s">
        <v>6</v>
      </c>
      <c r="B83">
        <v>2</v>
      </c>
      <c r="C83">
        <v>45</v>
      </c>
      <c r="D83" s="1" t="s">
        <v>7</v>
      </c>
      <c r="E83">
        <v>0</v>
      </c>
      <c r="F83">
        <v>0</v>
      </c>
      <c r="G83" t="b">
        <f>OR(DM_Control_Error_Param__3[[#This Row],[aperture shift (% actuator pitch)]]&gt;10,DM_Control_Error_Param__3[[#This Row],[log-amplitude variance ]]&gt;0.1)</f>
        <v>0</v>
      </c>
    </row>
    <row r="84" spans="1:7" x14ac:dyDescent="0.25">
      <c r="A84" s="1" t="s">
        <v>6</v>
      </c>
      <c r="B84">
        <v>2</v>
      </c>
      <c r="C84">
        <v>60</v>
      </c>
      <c r="D84" s="1" t="s">
        <v>7</v>
      </c>
      <c r="E84">
        <v>0</v>
      </c>
      <c r="F84">
        <v>0</v>
      </c>
      <c r="G84" t="b">
        <f>OR(DM_Control_Error_Param__3[[#This Row],[aperture shift (% actuator pitch)]]&gt;10,DM_Control_Error_Param__3[[#This Row],[log-amplitude variance ]]&gt;0.1)</f>
        <v>0</v>
      </c>
    </row>
    <row r="85" spans="1:7" x14ac:dyDescent="0.25">
      <c r="A85" s="1" t="s">
        <v>6</v>
      </c>
      <c r="B85">
        <v>2</v>
      </c>
      <c r="C85">
        <v>70</v>
      </c>
      <c r="D85" s="1" t="s">
        <v>7</v>
      </c>
      <c r="E85">
        <v>0</v>
      </c>
      <c r="F85">
        <v>0</v>
      </c>
      <c r="G85" t="b">
        <f>OR(DM_Control_Error_Param__3[[#This Row],[aperture shift (% actuator pitch)]]&gt;10,DM_Control_Error_Param__3[[#This Row],[log-amplitude variance ]]&gt;0.1)</f>
        <v>0</v>
      </c>
    </row>
    <row r="86" spans="1:7" x14ac:dyDescent="0.25">
      <c r="A86" s="1" t="s">
        <v>6</v>
      </c>
      <c r="B86">
        <v>2</v>
      </c>
      <c r="C86">
        <v>80</v>
      </c>
      <c r="D86" s="1" t="s">
        <v>7</v>
      </c>
      <c r="E86">
        <v>0</v>
      </c>
      <c r="F86">
        <v>0</v>
      </c>
      <c r="G86" t="b">
        <f>OR(DM_Control_Error_Param__3[[#This Row],[aperture shift (% actuator pitch)]]&gt;10,DM_Control_Error_Param__3[[#This Row],[log-amplitude variance ]]&gt;0.1)</f>
        <v>0</v>
      </c>
    </row>
    <row r="87" spans="1:7" x14ac:dyDescent="0.25">
      <c r="A87" s="1" t="s">
        <v>10</v>
      </c>
      <c r="B87">
        <v>14</v>
      </c>
      <c r="C87">
        <v>0</v>
      </c>
      <c r="D87" s="1" t="s">
        <v>7</v>
      </c>
      <c r="E87">
        <v>2.5</v>
      </c>
      <c r="F87">
        <v>6.0000000000000001E-3</v>
      </c>
      <c r="G87" t="b">
        <f>OR(DM_Control_Error_Param__3[[#This Row],[aperture shift (% actuator pitch)]]&gt;10,DM_Control_Error_Param__3[[#This Row],[log-amplitude variance ]]&gt;0.1)</f>
        <v>0</v>
      </c>
    </row>
    <row r="88" spans="1:7" x14ac:dyDescent="0.25">
      <c r="A88" s="1" t="s">
        <v>10</v>
      </c>
      <c r="B88">
        <v>14</v>
      </c>
      <c r="C88">
        <v>30</v>
      </c>
      <c r="D88" s="1" t="s">
        <v>7</v>
      </c>
      <c r="E88">
        <v>2.9</v>
      </c>
      <c r="F88">
        <v>6.0000000000000001E-3</v>
      </c>
      <c r="G88" t="b">
        <f>OR(DM_Control_Error_Param__3[[#This Row],[aperture shift (% actuator pitch)]]&gt;10,DM_Control_Error_Param__3[[#This Row],[log-amplitude variance ]]&gt;0.1)</f>
        <v>0</v>
      </c>
    </row>
    <row r="89" spans="1:7" x14ac:dyDescent="0.25">
      <c r="A89" s="1" t="s">
        <v>10</v>
      </c>
      <c r="B89">
        <v>14</v>
      </c>
      <c r="C89">
        <v>45</v>
      </c>
      <c r="D89" s="1" t="s">
        <v>7</v>
      </c>
      <c r="E89">
        <v>4</v>
      </c>
      <c r="F89">
        <v>0.01</v>
      </c>
      <c r="G89" t="b">
        <f>OR(DM_Control_Error_Param__3[[#This Row],[aperture shift (% actuator pitch)]]&gt;10,DM_Control_Error_Param__3[[#This Row],[log-amplitude variance ]]&gt;0.1)</f>
        <v>0</v>
      </c>
    </row>
    <row r="90" spans="1:7" x14ac:dyDescent="0.25">
      <c r="A90" s="1" t="s">
        <v>10</v>
      </c>
      <c r="B90">
        <v>14</v>
      </c>
      <c r="C90">
        <v>60</v>
      </c>
      <c r="D90" s="1" t="s">
        <v>7</v>
      </c>
      <c r="E90">
        <v>3.8</v>
      </c>
      <c r="F90">
        <v>0.01</v>
      </c>
      <c r="G90" t="b">
        <f>OR(DM_Control_Error_Param__3[[#This Row],[aperture shift (% actuator pitch)]]&gt;10,DM_Control_Error_Param__3[[#This Row],[log-amplitude variance ]]&gt;0.1)</f>
        <v>0</v>
      </c>
    </row>
    <row r="91" spans="1:7" x14ac:dyDescent="0.25">
      <c r="A91" s="1" t="s">
        <v>10</v>
      </c>
      <c r="B91">
        <v>14</v>
      </c>
      <c r="C91">
        <v>70</v>
      </c>
      <c r="D91" s="1" t="s">
        <v>7</v>
      </c>
      <c r="E91">
        <v>4.0999999999999996</v>
      </c>
      <c r="F91">
        <v>1.2999999999999999E-2</v>
      </c>
      <c r="G91" t="b">
        <f>OR(DM_Control_Error_Param__3[[#This Row],[aperture shift (% actuator pitch)]]&gt;10,DM_Control_Error_Param__3[[#This Row],[log-amplitude variance ]]&gt;0.1)</f>
        <v>0</v>
      </c>
    </row>
    <row r="92" spans="1:7" x14ac:dyDescent="0.25">
      <c r="A92" s="1" t="s">
        <v>10</v>
      </c>
      <c r="B92">
        <v>14</v>
      </c>
      <c r="C92">
        <v>80</v>
      </c>
      <c r="D92" s="1" t="s">
        <v>7</v>
      </c>
      <c r="E92">
        <v>6</v>
      </c>
      <c r="F92">
        <v>2.8000000000000001E-2</v>
      </c>
      <c r="G92" t="b">
        <f>OR(DM_Control_Error_Param__3[[#This Row],[aperture shift (% actuator pitch)]]&gt;10,DM_Control_Error_Param__3[[#This Row],[log-amplitude variance ]]&gt;0.1)</f>
        <v>0</v>
      </c>
    </row>
    <row r="93" spans="1:7" x14ac:dyDescent="0.25">
      <c r="A93" s="1" t="s">
        <v>10</v>
      </c>
      <c r="B93">
        <v>11</v>
      </c>
      <c r="C93">
        <v>0</v>
      </c>
      <c r="D93" s="1" t="s">
        <v>7</v>
      </c>
      <c r="E93">
        <v>3.1</v>
      </c>
      <c r="F93">
        <v>8.0000000000000002E-3</v>
      </c>
      <c r="G93" t="b">
        <f>OR(DM_Control_Error_Param__3[[#This Row],[aperture shift (% actuator pitch)]]&gt;10,DM_Control_Error_Param__3[[#This Row],[log-amplitude variance ]]&gt;0.1)</f>
        <v>0</v>
      </c>
    </row>
    <row r="94" spans="1:7" x14ac:dyDescent="0.25">
      <c r="A94" s="1" t="s">
        <v>10</v>
      </c>
      <c r="B94">
        <v>11</v>
      </c>
      <c r="C94">
        <v>30</v>
      </c>
      <c r="D94" s="1" t="s">
        <v>7</v>
      </c>
      <c r="E94">
        <v>3.5</v>
      </c>
      <c r="F94">
        <v>8.9999999999999993E-3</v>
      </c>
      <c r="G94" t="b">
        <f>OR(DM_Control_Error_Param__3[[#This Row],[aperture shift (% actuator pitch)]]&gt;10,DM_Control_Error_Param__3[[#This Row],[log-amplitude variance ]]&gt;0.1)</f>
        <v>0</v>
      </c>
    </row>
    <row r="95" spans="1:7" x14ac:dyDescent="0.25">
      <c r="A95" s="1" t="s">
        <v>10</v>
      </c>
      <c r="B95">
        <v>11</v>
      </c>
      <c r="C95">
        <v>45</v>
      </c>
      <c r="D95" s="1" t="s">
        <v>7</v>
      </c>
      <c r="E95">
        <v>4.9000000000000004</v>
      </c>
      <c r="F95">
        <v>1.6E-2</v>
      </c>
      <c r="G95" t="b">
        <f>OR(DM_Control_Error_Param__3[[#This Row],[aperture shift (% actuator pitch)]]&gt;10,DM_Control_Error_Param__3[[#This Row],[log-amplitude variance ]]&gt;0.1)</f>
        <v>0</v>
      </c>
    </row>
    <row r="96" spans="1:7" x14ac:dyDescent="0.25">
      <c r="A96" s="1" t="s">
        <v>10</v>
      </c>
      <c r="B96">
        <v>11</v>
      </c>
      <c r="C96">
        <v>60</v>
      </c>
      <c r="D96" s="1" t="s">
        <v>7</v>
      </c>
      <c r="E96">
        <v>4.5999999999999996</v>
      </c>
      <c r="F96">
        <v>1.4999999999999999E-2</v>
      </c>
      <c r="G96" t="b">
        <f>OR(DM_Control_Error_Param__3[[#This Row],[aperture shift (% actuator pitch)]]&gt;10,DM_Control_Error_Param__3[[#This Row],[log-amplitude variance ]]&gt;0.1)</f>
        <v>0</v>
      </c>
    </row>
    <row r="97" spans="1:7" x14ac:dyDescent="0.25">
      <c r="A97" s="1" t="s">
        <v>10</v>
      </c>
      <c r="B97">
        <v>11</v>
      </c>
      <c r="C97">
        <v>70</v>
      </c>
      <c r="D97" s="1" t="s">
        <v>7</v>
      </c>
      <c r="E97">
        <v>5</v>
      </c>
      <c r="F97">
        <v>1.9E-2</v>
      </c>
      <c r="G97" t="b">
        <f>OR(DM_Control_Error_Param__3[[#This Row],[aperture shift (% actuator pitch)]]&gt;10,DM_Control_Error_Param__3[[#This Row],[log-amplitude variance ]]&gt;0.1)</f>
        <v>0</v>
      </c>
    </row>
    <row r="98" spans="1:7" x14ac:dyDescent="0.25">
      <c r="A98" s="1" t="s">
        <v>10</v>
      </c>
      <c r="B98">
        <v>11</v>
      </c>
      <c r="C98">
        <v>80</v>
      </c>
      <c r="D98" s="1" t="s">
        <v>7</v>
      </c>
      <c r="E98">
        <v>7.4</v>
      </c>
      <c r="F98">
        <v>4.2000000000000003E-2</v>
      </c>
      <c r="G98" t="b">
        <f>OR(DM_Control_Error_Param__3[[#This Row],[aperture shift (% actuator pitch)]]&gt;10,DM_Control_Error_Param__3[[#This Row],[log-amplitude variance ]]&gt;0.1)</f>
        <v>0</v>
      </c>
    </row>
    <row r="99" spans="1:7" x14ac:dyDescent="0.25">
      <c r="A99" s="1" t="s">
        <v>10</v>
      </c>
      <c r="B99">
        <v>8</v>
      </c>
      <c r="C99">
        <v>0</v>
      </c>
      <c r="D99" s="1" t="s">
        <v>7</v>
      </c>
      <c r="E99">
        <v>4</v>
      </c>
      <c r="F99">
        <v>1.4E-2</v>
      </c>
      <c r="G99" t="b">
        <f>OR(DM_Control_Error_Param__3[[#This Row],[aperture shift (% actuator pitch)]]&gt;10,DM_Control_Error_Param__3[[#This Row],[log-amplitude variance ]]&gt;0.1)</f>
        <v>0</v>
      </c>
    </row>
    <row r="100" spans="1:7" x14ac:dyDescent="0.25">
      <c r="A100" s="1" t="s">
        <v>10</v>
      </c>
      <c r="B100">
        <v>8</v>
      </c>
      <c r="C100">
        <v>30</v>
      </c>
      <c r="D100" s="1" t="s">
        <v>7</v>
      </c>
      <c r="E100">
        <v>4.5999999999999996</v>
      </c>
      <c r="F100">
        <v>1.4999999999999999E-2</v>
      </c>
      <c r="G100" t="b">
        <f>OR(DM_Control_Error_Param__3[[#This Row],[aperture shift (% actuator pitch)]]&gt;10,DM_Control_Error_Param__3[[#This Row],[log-amplitude variance ]]&gt;0.1)</f>
        <v>0</v>
      </c>
    </row>
    <row r="101" spans="1:7" x14ac:dyDescent="0.25">
      <c r="A101" s="1" t="s">
        <v>10</v>
      </c>
      <c r="B101">
        <v>8</v>
      </c>
      <c r="C101">
        <v>45</v>
      </c>
      <c r="D101" s="1" t="s">
        <v>7</v>
      </c>
      <c r="E101">
        <v>6.4</v>
      </c>
      <c r="F101">
        <v>2.7E-2</v>
      </c>
      <c r="G101" t="b">
        <f>OR(DM_Control_Error_Param__3[[#This Row],[aperture shift (% actuator pitch)]]&gt;10,DM_Control_Error_Param__3[[#This Row],[log-amplitude variance ]]&gt;0.1)</f>
        <v>0</v>
      </c>
    </row>
    <row r="102" spans="1:7" x14ac:dyDescent="0.25">
      <c r="A102" s="1" t="s">
        <v>10</v>
      </c>
      <c r="B102">
        <v>8</v>
      </c>
      <c r="C102">
        <v>60</v>
      </c>
      <c r="D102" s="1" t="s">
        <v>7</v>
      </c>
      <c r="E102">
        <v>6</v>
      </c>
      <c r="F102">
        <v>2.5000000000000001E-2</v>
      </c>
      <c r="G102" t="b">
        <f>OR(DM_Control_Error_Param__3[[#This Row],[aperture shift (% actuator pitch)]]&gt;10,DM_Control_Error_Param__3[[#This Row],[log-amplitude variance ]]&gt;0.1)</f>
        <v>0</v>
      </c>
    </row>
    <row r="103" spans="1:7" x14ac:dyDescent="0.25">
      <c r="A103" s="1" t="s">
        <v>10</v>
      </c>
      <c r="B103">
        <v>8</v>
      </c>
      <c r="C103">
        <v>70</v>
      </c>
      <c r="D103" s="1" t="s">
        <v>7</v>
      </c>
      <c r="E103">
        <v>6.6</v>
      </c>
      <c r="F103">
        <v>3.3000000000000002E-2</v>
      </c>
      <c r="G103" t="b">
        <f>OR(DM_Control_Error_Param__3[[#This Row],[aperture shift (% actuator pitch)]]&gt;10,DM_Control_Error_Param__3[[#This Row],[log-amplitude variance ]]&gt;0.1)</f>
        <v>0</v>
      </c>
    </row>
    <row r="104" spans="1:7" x14ac:dyDescent="0.25">
      <c r="A104" s="1" t="s">
        <v>10</v>
      </c>
      <c r="B104">
        <v>8</v>
      </c>
      <c r="C104">
        <v>80</v>
      </c>
      <c r="D104" s="1" t="s">
        <v>7</v>
      </c>
      <c r="E104">
        <v>9.6</v>
      </c>
      <c r="F104">
        <v>7.0999999999999994E-2</v>
      </c>
      <c r="G104" t="b">
        <f>OR(DM_Control_Error_Param__3[[#This Row],[aperture shift (% actuator pitch)]]&gt;10,DM_Control_Error_Param__3[[#This Row],[log-amplitude variance ]]&gt;0.1)</f>
        <v>0</v>
      </c>
    </row>
    <row r="105" spans="1:7" x14ac:dyDescent="0.25">
      <c r="A105" s="1" t="s">
        <v>10</v>
      </c>
      <c r="B105">
        <v>5</v>
      </c>
      <c r="C105">
        <v>0</v>
      </c>
      <c r="D105" s="1" t="s">
        <v>7</v>
      </c>
      <c r="E105">
        <v>6</v>
      </c>
      <c r="F105">
        <v>3.1E-2</v>
      </c>
      <c r="G105" t="b">
        <f>OR(DM_Control_Error_Param__3[[#This Row],[aperture shift (% actuator pitch)]]&gt;10,DM_Control_Error_Param__3[[#This Row],[log-amplitude variance ]]&gt;0.1)</f>
        <v>0</v>
      </c>
    </row>
    <row r="106" spans="1:7" x14ac:dyDescent="0.25">
      <c r="A106" s="1" t="s">
        <v>10</v>
      </c>
      <c r="B106">
        <v>5</v>
      </c>
      <c r="C106">
        <v>30</v>
      </c>
      <c r="D106" s="1" t="s">
        <v>7</v>
      </c>
      <c r="E106">
        <v>6.8</v>
      </c>
      <c r="F106">
        <v>3.3000000000000002E-2</v>
      </c>
      <c r="G106" t="b">
        <f>OR(DM_Control_Error_Param__3[[#This Row],[aperture shift (% actuator pitch)]]&gt;10,DM_Control_Error_Param__3[[#This Row],[log-amplitude variance ]]&gt;0.1)</f>
        <v>0</v>
      </c>
    </row>
    <row r="107" spans="1:7" x14ac:dyDescent="0.25">
      <c r="A107" s="1" t="s">
        <v>10</v>
      </c>
      <c r="B107">
        <v>5</v>
      </c>
      <c r="C107">
        <v>45</v>
      </c>
      <c r="D107" s="1" t="s">
        <v>7</v>
      </c>
      <c r="E107">
        <v>9.4</v>
      </c>
      <c r="F107">
        <v>5.8000000000000003E-2</v>
      </c>
      <c r="G107" t="b">
        <f>OR(DM_Control_Error_Param__3[[#This Row],[aperture shift (% actuator pitch)]]&gt;10,DM_Control_Error_Param__3[[#This Row],[log-amplitude variance ]]&gt;0.1)</f>
        <v>0</v>
      </c>
    </row>
    <row r="108" spans="1:7" x14ac:dyDescent="0.25">
      <c r="A108" s="1" t="s">
        <v>10</v>
      </c>
      <c r="B108">
        <v>5</v>
      </c>
      <c r="C108">
        <v>60</v>
      </c>
      <c r="D108" s="1" t="s">
        <v>7</v>
      </c>
      <c r="E108">
        <v>8.9</v>
      </c>
      <c r="F108">
        <v>5.6000000000000001E-2</v>
      </c>
      <c r="G108" t="b">
        <f>OR(DM_Control_Error_Param__3[[#This Row],[aperture shift (% actuator pitch)]]&gt;10,DM_Control_Error_Param__3[[#This Row],[log-amplitude variance ]]&gt;0.1)</f>
        <v>0</v>
      </c>
    </row>
    <row r="109" spans="1:7" x14ac:dyDescent="0.25">
      <c r="A109" s="1" t="s">
        <v>10</v>
      </c>
      <c r="B109">
        <v>5</v>
      </c>
      <c r="C109">
        <v>70</v>
      </c>
      <c r="D109" s="1" t="s">
        <v>7</v>
      </c>
      <c r="E109">
        <v>9.6999999999999993</v>
      </c>
      <c r="F109">
        <v>7.1999999999999995E-2</v>
      </c>
      <c r="G109" t="b">
        <f>OR(DM_Control_Error_Param__3[[#This Row],[aperture shift (% actuator pitch)]]&gt;10,DM_Control_Error_Param__3[[#This Row],[log-amplitude variance ]]&gt;0.1)</f>
        <v>0</v>
      </c>
    </row>
    <row r="110" spans="1:7" x14ac:dyDescent="0.25">
      <c r="A110" s="1" t="s">
        <v>10</v>
      </c>
      <c r="B110">
        <v>3</v>
      </c>
      <c r="C110">
        <v>0</v>
      </c>
      <c r="D110" s="1" t="s">
        <v>7</v>
      </c>
      <c r="E110">
        <v>9.1</v>
      </c>
      <c r="F110">
        <v>7.2999999999999995E-2</v>
      </c>
      <c r="G110" t="b">
        <f>OR(DM_Control_Error_Param__3[[#This Row],[aperture shift (% actuator pitch)]]&gt;10,DM_Control_Error_Param__3[[#This Row],[log-amplitude variance ]]&gt;0.1)</f>
        <v>0</v>
      </c>
    </row>
    <row r="111" spans="1:7" x14ac:dyDescent="0.25">
      <c r="A111" s="1" t="s">
        <v>15</v>
      </c>
      <c r="B111">
        <v>14</v>
      </c>
      <c r="C111">
        <v>0</v>
      </c>
      <c r="D111" s="1" t="s">
        <v>7</v>
      </c>
      <c r="E111">
        <v>0</v>
      </c>
      <c r="F111">
        <v>0</v>
      </c>
      <c r="G111" t="b">
        <f>OR(DM_Control_Error_Param__3[[#This Row],[aperture shift (% actuator pitch)]]&gt;10,DM_Control_Error_Param__3[[#This Row],[log-amplitude variance ]]&gt;0.1)</f>
        <v>0</v>
      </c>
    </row>
    <row r="112" spans="1:7" x14ac:dyDescent="0.25">
      <c r="A112" s="1" t="s">
        <v>15</v>
      </c>
      <c r="B112">
        <v>14</v>
      </c>
      <c r="C112">
        <v>30</v>
      </c>
      <c r="D112" s="1" t="s">
        <v>7</v>
      </c>
      <c r="E112">
        <v>0</v>
      </c>
      <c r="F112">
        <v>0</v>
      </c>
      <c r="G112" t="b">
        <f>OR(DM_Control_Error_Param__3[[#This Row],[aperture shift (% actuator pitch)]]&gt;10,DM_Control_Error_Param__3[[#This Row],[log-amplitude variance ]]&gt;0.1)</f>
        <v>0</v>
      </c>
    </row>
    <row r="113" spans="1:7" x14ac:dyDescent="0.25">
      <c r="A113" s="1" t="s">
        <v>15</v>
      </c>
      <c r="B113">
        <v>14</v>
      </c>
      <c r="C113">
        <v>45</v>
      </c>
      <c r="D113" s="1" t="s">
        <v>7</v>
      </c>
      <c r="E113">
        <v>0</v>
      </c>
      <c r="F113">
        <v>0</v>
      </c>
      <c r="G113" t="b">
        <f>OR(DM_Control_Error_Param__3[[#This Row],[aperture shift (% actuator pitch)]]&gt;10,DM_Control_Error_Param__3[[#This Row],[log-amplitude variance ]]&gt;0.1)</f>
        <v>0</v>
      </c>
    </row>
    <row r="114" spans="1:7" x14ac:dyDescent="0.25">
      <c r="A114" s="1" t="s">
        <v>15</v>
      </c>
      <c r="B114">
        <v>14</v>
      </c>
      <c r="C114">
        <v>60</v>
      </c>
      <c r="D114" s="1" t="s">
        <v>7</v>
      </c>
      <c r="E114">
        <v>0</v>
      </c>
      <c r="F114">
        <v>0</v>
      </c>
      <c r="G114" t="b">
        <f>OR(DM_Control_Error_Param__3[[#This Row],[aperture shift (% actuator pitch)]]&gt;10,DM_Control_Error_Param__3[[#This Row],[log-amplitude variance ]]&gt;0.1)</f>
        <v>0</v>
      </c>
    </row>
    <row r="115" spans="1:7" x14ac:dyDescent="0.25">
      <c r="A115" s="1" t="s">
        <v>15</v>
      </c>
      <c r="B115">
        <v>14</v>
      </c>
      <c r="C115">
        <v>70</v>
      </c>
      <c r="D115" s="1" t="s">
        <v>7</v>
      </c>
      <c r="E115">
        <v>0</v>
      </c>
      <c r="F115">
        <v>0</v>
      </c>
      <c r="G115" t="b">
        <f>OR(DM_Control_Error_Param__3[[#This Row],[aperture shift (% actuator pitch)]]&gt;10,DM_Control_Error_Param__3[[#This Row],[log-amplitude variance ]]&gt;0.1)</f>
        <v>0</v>
      </c>
    </row>
    <row r="116" spans="1:7" x14ac:dyDescent="0.25">
      <c r="A116" s="1" t="s">
        <v>15</v>
      </c>
      <c r="B116">
        <v>14</v>
      </c>
      <c r="C116">
        <v>80</v>
      </c>
      <c r="D116" s="1" t="s">
        <v>7</v>
      </c>
      <c r="E116">
        <v>0</v>
      </c>
      <c r="F116">
        <v>0</v>
      </c>
      <c r="G116" t="b">
        <f>OR(DM_Control_Error_Param__3[[#This Row],[aperture shift (% actuator pitch)]]&gt;10,DM_Control_Error_Param__3[[#This Row],[log-amplitude variance ]]&gt;0.1)</f>
        <v>0</v>
      </c>
    </row>
    <row r="117" spans="1:7" x14ac:dyDescent="0.25">
      <c r="A117" s="1" t="s">
        <v>15</v>
      </c>
      <c r="B117">
        <v>11</v>
      </c>
      <c r="C117">
        <v>0</v>
      </c>
      <c r="D117" s="1" t="s">
        <v>7</v>
      </c>
      <c r="E117">
        <v>0</v>
      </c>
      <c r="F117">
        <v>0</v>
      </c>
      <c r="G117" t="b">
        <f>OR(DM_Control_Error_Param__3[[#This Row],[aperture shift (% actuator pitch)]]&gt;10,DM_Control_Error_Param__3[[#This Row],[log-amplitude variance ]]&gt;0.1)</f>
        <v>0</v>
      </c>
    </row>
    <row r="118" spans="1:7" x14ac:dyDescent="0.25">
      <c r="A118" s="1" t="s">
        <v>15</v>
      </c>
      <c r="B118">
        <v>11</v>
      </c>
      <c r="C118">
        <v>30</v>
      </c>
      <c r="D118" s="1" t="s">
        <v>7</v>
      </c>
      <c r="E118">
        <v>0</v>
      </c>
      <c r="F118">
        <v>0</v>
      </c>
      <c r="G118" t="b">
        <f>OR(DM_Control_Error_Param__3[[#This Row],[aperture shift (% actuator pitch)]]&gt;10,DM_Control_Error_Param__3[[#This Row],[log-amplitude variance ]]&gt;0.1)</f>
        <v>0</v>
      </c>
    </row>
    <row r="119" spans="1:7" x14ac:dyDescent="0.25">
      <c r="A119" s="1" t="s">
        <v>15</v>
      </c>
      <c r="B119">
        <v>11</v>
      </c>
      <c r="C119">
        <v>45</v>
      </c>
      <c r="D119" s="1" t="s">
        <v>7</v>
      </c>
      <c r="E119">
        <v>0</v>
      </c>
      <c r="F119">
        <v>0</v>
      </c>
      <c r="G119" t="b">
        <f>OR(DM_Control_Error_Param__3[[#This Row],[aperture shift (% actuator pitch)]]&gt;10,DM_Control_Error_Param__3[[#This Row],[log-amplitude variance ]]&gt;0.1)</f>
        <v>0</v>
      </c>
    </row>
    <row r="120" spans="1:7" x14ac:dyDescent="0.25">
      <c r="A120" s="1" t="s">
        <v>15</v>
      </c>
      <c r="B120">
        <v>11</v>
      </c>
      <c r="C120">
        <v>60</v>
      </c>
      <c r="D120" s="1" t="s">
        <v>7</v>
      </c>
      <c r="E120">
        <v>0</v>
      </c>
      <c r="F120">
        <v>0</v>
      </c>
      <c r="G120" t="b">
        <f>OR(DM_Control_Error_Param__3[[#This Row],[aperture shift (% actuator pitch)]]&gt;10,DM_Control_Error_Param__3[[#This Row],[log-amplitude variance ]]&gt;0.1)</f>
        <v>0</v>
      </c>
    </row>
    <row r="121" spans="1:7" x14ac:dyDescent="0.25">
      <c r="A121" s="1" t="s">
        <v>15</v>
      </c>
      <c r="B121">
        <v>11</v>
      </c>
      <c r="C121">
        <v>70</v>
      </c>
      <c r="D121" s="1" t="s">
        <v>7</v>
      </c>
      <c r="E121">
        <v>0</v>
      </c>
      <c r="F121">
        <v>0</v>
      </c>
      <c r="G121" t="b">
        <f>OR(DM_Control_Error_Param__3[[#This Row],[aperture shift (% actuator pitch)]]&gt;10,DM_Control_Error_Param__3[[#This Row],[log-amplitude variance ]]&gt;0.1)</f>
        <v>0</v>
      </c>
    </row>
    <row r="122" spans="1:7" x14ac:dyDescent="0.25">
      <c r="A122" s="1" t="s">
        <v>15</v>
      </c>
      <c r="B122">
        <v>11</v>
      </c>
      <c r="C122">
        <v>80</v>
      </c>
      <c r="D122" s="1" t="s">
        <v>7</v>
      </c>
      <c r="E122">
        <v>0</v>
      </c>
      <c r="F122">
        <v>0</v>
      </c>
      <c r="G122" t="b">
        <f>OR(DM_Control_Error_Param__3[[#This Row],[aperture shift (% actuator pitch)]]&gt;10,DM_Control_Error_Param__3[[#This Row],[log-amplitude variance ]]&gt;0.1)</f>
        <v>0</v>
      </c>
    </row>
    <row r="123" spans="1:7" x14ac:dyDescent="0.25">
      <c r="A123" s="1" t="s">
        <v>15</v>
      </c>
      <c r="B123">
        <v>8</v>
      </c>
      <c r="C123">
        <v>0</v>
      </c>
      <c r="D123" s="1" t="s">
        <v>7</v>
      </c>
      <c r="E123">
        <v>0</v>
      </c>
      <c r="F123">
        <v>0</v>
      </c>
      <c r="G123" t="b">
        <f>OR(DM_Control_Error_Param__3[[#This Row],[aperture shift (% actuator pitch)]]&gt;10,DM_Control_Error_Param__3[[#This Row],[log-amplitude variance ]]&gt;0.1)</f>
        <v>0</v>
      </c>
    </row>
    <row r="124" spans="1:7" x14ac:dyDescent="0.25">
      <c r="A124" s="1" t="s">
        <v>15</v>
      </c>
      <c r="B124">
        <v>8</v>
      </c>
      <c r="C124">
        <v>30</v>
      </c>
      <c r="D124" s="1" t="s">
        <v>7</v>
      </c>
      <c r="E124">
        <v>0</v>
      </c>
      <c r="F124">
        <v>0</v>
      </c>
      <c r="G124" t="b">
        <f>OR(DM_Control_Error_Param__3[[#This Row],[aperture shift (% actuator pitch)]]&gt;10,DM_Control_Error_Param__3[[#This Row],[log-amplitude variance ]]&gt;0.1)</f>
        <v>0</v>
      </c>
    </row>
    <row r="125" spans="1:7" x14ac:dyDescent="0.25">
      <c r="A125" s="1" t="s">
        <v>15</v>
      </c>
      <c r="B125">
        <v>8</v>
      </c>
      <c r="C125">
        <v>45</v>
      </c>
      <c r="D125" s="1" t="s">
        <v>7</v>
      </c>
      <c r="E125">
        <v>0</v>
      </c>
      <c r="F125">
        <v>0</v>
      </c>
      <c r="G125" t="b">
        <f>OR(DM_Control_Error_Param__3[[#This Row],[aperture shift (% actuator pitch)]]&gt;10,DM_Control_Error_Param__3[[#This Row],[log-amplitude variance ]]&gt;0.1)</f>
        <v>0</v>
      </c>
    </row>
    <row r="126" spans="1:7" x14ac:dyDescent="0.25">
      <c r="A126" s="1" t="s">
        <v>15</v>
      </c>
      <c r="B126">
        <v>8</v>
      </c>
      <c r="C126">
        <v>60</v>
      </c>
      <c r="D126" s="1" t="s">
        <v>7</v>
      </c>
      <c r="E126">
        <v>0</v>
      </c>
      <c r="F126">
        <v>0</v>
      </c>
      <c r="G126" t="b">
        <f>OR(DM_Control_Error_Param__3[[#This Row],[aperture shift (% actuator pitch)]]&gt;10,DM_Control_Error_Param__3[[#This Row],[log-amplitude variance ]]&gt;0.1)</f>
        <v>0</v>
      </c>
    </row>
    <row r="127" spans="1:7" x14ac:dyDescent="0.25">
      <c r="A127" s="1" t="s">
        <v>15</v>
      </c>
      <c r="B127">
        <v>8</v>
      </c>
      <c r="C127">
        <v>70</v>
      </c>
      <c r="D127" s="1" t="s">
        <v>7</v>
      </c>
      <c r="E127">
        <v>0</v>
      </c>
      <c r="F127">
        <v>0</v>
      </c>
      <c r="G127" t="b">
        <f>OR(DM_Control_Error_Param__3[[#This Row],[aperture shift (% actuator pitch)]]&gt;10,DM_Control_Error_Param__3[[#This Row],[log-amplitude variance ]]&gt;0.1)</f>
        <v>0</v>
      </c>
    </row>
    <row r="128" spans="1:7" x14ac:dyDescent="0.25">
      <c r="A128" s="1" t="s">
        <v>15</v>
      </c>
      <c r="B128">
        <v>8</v>
      </c>
      <c r="C128">
        <v>80</v>
      </c>
      <c r="D128" s="1" t="s">
        <v>7</v>
      </c>
      <c r="E128">
        <v>0</v>
      </c>
      <c r="F128">
        <v>0</v>
      </c>
      <c r="G128" t="b">
        <f>OR(DM_Control_Error_Param__3[[#This Row],[aperture shift (% actuator pitch)]]&gt;10,DM_Control_Error_Param__3[[#This Row],[log-amplitude variance ]]&gt;0.1)</f>
        <v>0</v>
      </c>
    </row>
    <row r="129" spans="1:7" x14ac:dyDescent="0.25">
      <c r="A129" s="1" t="s">
        <v>15</v>
      </c>
      <c r="B129">
        <v>5</v>
      </c>
      <c r="C129">
        <v>0</v>
      </c>
      <c r="D129" s="1" t="s">
        <v>7</v>
      </c>
      <c r="E129">
        <v>0</v>
      </c>
      <c r="F129">
        <v>0</v>
      </c>
      <c r="G129" t="b">
        <f>OR(DM_Control_Error_Param__3[[#This Row],[aperture shift (% actuator pitch)]]&gt;10,DM_Control_Error_Param__3[[#This Row],[log-amplitude variance ]]&gt;0.1)</f>
        <v>0</v>
      </c>
    </row>
    <row r="130" spans="1:7" x14ac:dyDescent="0.25">
      <c r="A130" s="1" t="s">
        <v>15</v>
      </c>
      <c r="B130">
        <v>5</v>
      </c>
      <c r="C130">
        <v>30</v>
      </c>
      <c r="D130" s="1" t="s">
        <v>7</v>
      </c>
      <c r="E130">
        <v>0</v>
      </c>
      <c r="F130">
        <v>0</v>
      </c>
      <c r="G130" t="b">
        <f>OR(DM_Control_Error_Param__3[[#This Row],[aperture shift (% actuator pitch)]]&gt;10,DM_Control_Error_Param__3[[#This Row],[log-amplitude variance ]]&gt;0.1)</f>
        <v>0</v>
      </c>
    </row>
    <row r="131" spans="1:7" x14ac:dyDescent="0.25">
      <c r="A131" s="1" t="s">
        <v>15</v>
      </c>
      <c r="B131">
        <v>5</v>
      </c>
      <c r="C131">
        <v>45</v>
      </c>
      <c r="D131" s="1" t="s">
        <v>7</v>
      </c>
      <c r="E131">
        <v>0</v>
      </c>
      <c r="F131">
        <v>0</v>
      </c>
      <c r="G131" t="b">
        <f>OR(DM_Control_Error_Param__3[[#This Row],[aperture shift (% actuator pitch)]]&gt;10,DM_Control_Error_Param__3[[#This Row],[log-amplitude variance ]]&gt;0.1)</f>
        <v>0</v>
      </c>
    </row>
    <row r="132" spans="1:7" x14ac:dyDescent="0.25">
      <c r="A132" s="1" t="s">
        <v>15</v>
      </c>
      <c r="B132">
        <v>5</v>
      </c>
      <c r="C132">
        <v>60</v>
      </c>
      <c r="D132" s="1" t="s">
        <v>7</v>
      </c>
      <c r="E132">
        <v>0</v>
      </c>
      <c r="F132">
        <v>0</v>
      </c>
      <c r="G132" t="b">
        <f>OR(DM_Control_Error_Param__3[[#This Row],[aperture shift (% actuator pitch)]]&gt;10,DM_Control_Error_Param__3[[#This Row],[log-amplitude variance ]]&gt;0.1)</f>
        <v>0</v>
      </c>
    </row>
    <row r="133" spans="1:7" x14ac:dyDescent="0.25">
      <c r="A133" s="1" t="s">
        <v>15</v>
      </c>
      <c r="B133">
        <v>5</v>
      </c>
      <c r="C133">
        <v>70</v>
      </c>
      <c r="D133" s="1" t="s">
        <v>7</v>
      </c>
      <c r="E133">
        <v>0</v>
      </c>
      <c r="F133">
        <v>0</v>
      </c>
      <c r="G133" t="b">
        <f>OR(DM_Control_Error_Param__3[[#This Row],[aperture shift (% actuator pitch)]]&gt;10,DM_Control_Error_Param__3[[#This Row],[log-amplitude variance ]]&gt;0.1)</f>
        <v>0</v>
      </c>
    </row>
    <row r="134" spans="1:7" x14ac:dyDescent="0.25">
      <c r="A134" s="1" t="s">
        <v>15</v>
      </c>
      <c r="B134">
        <v>5</v>
      </c>
      <c r="C134">
        <v>80</v>
      </c>
      <c r="D134" s="1" t="s">
        <v>7</v>
      </c>
      <c r="E134">
        <v>0</v>
      </c>
      <c r="F134">
        <v>0</v>
      </c>
      <c r="G134" t="b">
        <f>OR(DM_Control_Error_Param__3[[#This Row],[aperture shift (% actuator pitch)]]&gt;10,DM_Control_Error_Param__3[[#This Row],[log-amplitude variance ]]&gt;0.1)</f>
        <v>0</v>
      </c>
    </row>
    <row r="135" spans="1:7" x14ac:dyDescent="0.25">
      <c r="A135" s="1" t="s">
        <v>15</v>
      </c>
      <c r="B135">
        <v>3</v>
      </c>
      <c r="C135">
        <v>0</v>
      </c>
      <c r="D135" s="1" t="s">
        <v>7</v>
      </c>
      <c r="E135">
        <v>0</v>
      </c>
      <c r="F135">
        <v>0</v>
      </c>
      <c r="G135" t="b">
        <f>OR(DM_Control_Error_Param__3[[#This Row],[aperture shift (% actuator pitch)]]&gt;10,DM_Control_Error_Param__3[[#This Row],[log-amplitude variance ]]&gt;0.1)</f>
        <v>0</v>
      </c>
    </row>
    <row r="136" spans="1:7" x14ac:dyDescent="0.25">
      <c r="A136" s="1" t="s">
        <v>15</v>
      </c>
      <c r="B136">
        <v>3</v>
      </c>
      <c r="C136">
        <v>30</v>
      </c>
      <c r="D136" s="1" t="s">
        <v>7</v>
      </c>
      <c r="E136">
        <v>0</v>
      </c>
      <c r="F136">
        <v>0</v>
      </c>
      <c r="G136" t="b">
        <f>OR(DM_Control_Error_Param__3[[#This Row],[aperture shift (% actuator pitch)]]&gt;10,DM_Control_Error_Param__3[[#This Row],[log-amplitude variance ]]&gt;0.1)</f>
        <v>0</v>
      </c>
    </row>
    <row r="137" spans="1:7" x14ac:dyDescent="0.25">
      <c r="A137" s="1" t="s">
        <v>15</v>
      </c>
      <c r="B137">
        <v>3</v>
      </c>
      <c r="C137">
        <v>45</v>
      </c>
      <c r="D137" s="1" t="s">
        <v>7</v>
      </c>
      <c r="E137">
        <v>0</v>
      </c>
      <c r="F137">
        <v>0</v>
      </c>
      <c r="G137" t="b">
        <f>OR(DM_Control_Error_Param__3[[#This Row],[aperture shift (% actuator pitch)]]&gt;10,DM_Control_Error_Param__3[[#This Row],[log-amplitude variance ]]&gt;0.1)</f>
        <v>0</v>
      </c>
    </row>
    <row r="138" spans="1:7" x14ac:dyDescent="0.25">
      <c r="A138" s="1" t="s">
        <v>15</v>
      </c>
      <c r="B138">
        <v>3</v>
      </c>
      <c r="C138">
        <v>60</v>
      </c>
      <c r="D138" s="1" t="s">
        <v>7</v>
      </c>
      <c r="E138">
        <v>0</v>
      </c>
      <c r="F138">
        <v>0</v>
      </c>
      <c r="G138" t="b">
        <f>OR(DM_Control_Error_Param__3[[#This Row],[aperture shift (% actuator pitch)]]&gt;10,DM_Control_Error_Param__3[[#This Row],[log-amplitude variance ]]&gt;0.1)</f>
        <v>0</v>
      </c>
    </row>
    <row r="139" spans="1:7" x14ac:dyDescent="0.25">
      <c r="A139" s="1" t="s">
        <v>15</v>
      </c>
      <c r="B139">
        <v>3</v>
      </c>
      <c r="C139">
        <v>70</v>
      </c>
      <c r="D139" s="1" t="s">
        <v>7</v>
      </c>
      <c r="E139">
        <v>0</v>
      </c>
      <c r="F139">
        <v>0</v>
      </c>
      <c r="G139" t="b">
        <f>OR(DM_Control_Error_Param__3[[#This Row],[aperture shift (% actuator pitch)]]&gt;10,DM_Control_Error_Param__3[[#This Row],[log-amplitude variance ]]&gt;0.1)</f>
        <v>0</v>
      </c>
    </row>
    <row r="140" spans="1:7" x14ac:dyDescent="0.25">
      <c r="A140" s="1" t="s">
        <v>15</v>
      </c>
      <c r="B140">
        <v>3</v>
      </c>
      <c r="C140">
        <v>80</v>
      </c>
      <c r="D140" s="1" t="s">
        <v>7</v>
      </c>
      <c r="E140">
        <v>0</v>
      </c>
      <c r="F140">
        <v>0</v>
      </c>
      <c r="G140" t="b">
        <f>OR(DM_Control_Error_Param__3[[#This Row],[aperture shift (% actuator pitch)]]&gt;10,DM_Control_Error_Param__3[[#This Row],[log-amplitude variance ]]&gt;0.1)</f>
        <v>0</v>
      </c>
    </row>
    <row r="141" spans="1:7" x14ac:dyDescent="0.25">
      <c r="A141" s="1" t="s">
        <v>15</v>
      </c>
      <c r="B141">
        <v>2</v>
      </c>
      <c r="C141">
        <v>0</v>
      </c>
      <c r="D141" s="1" t="s">
        <v>7</v>
      </c>
      <c r="E141">
        <v>0</v>
      </c>
      <c r="F141">
        <v>0</v>
      </c>
      <c r="G141" t="b">
        <f>OR(DM_Control_Error_Param__3[[#This Row],[aperture shift (% actuator pitch)]]&gt;10,DM_Control_Error_Param__3[[#This Row],[log-amplitude variance ]]&gt;0.1)</f>
        <v>0</v>
      </c>
    </row>
    <row r="142" spans="1:7" x14ac:dyDescent="0.25">
      <c r="A142" s="1" t="s">
        <v>15</v>
      </c>
      <c r="B142">
        <v>2</v>
      </c>
      <c r="C142">
        <v>30</v>
      </c>
      <c r="D142" s="1" t="s">
        <v>7</v>
      </c>
      <c r="E142">
        <v>0</v>
      </c>
      <c r="F142">
        <v>0</v>
      </c>
      <c r="G142" t="b">
        <f>OR(DM_Control_Error_Param__3[[#This Row],[aperture shift (% actuator pitch)]]&gt;10,DM_Control_Error_Param__3[[#This Row],[log-amplitude variance ]]&gt;0.1)</f>
        <v>0</v>
      </c>
    </row>
    <row r="143" spans="1:7" x14ac:dyDescent="0.25">
      <c r="A143" s="1" t="s">
        <v>15</v>
      </c>
      <c r="B143">
        <v>2</v>
      </c>
      <c r="C143">
        <v>45</v>
      </c>
      <c r="D143" s="1" t="s">
        <v>7</v>
      </c>
      <c r="E143">
        <v>0</v>
      </c>
      <c r="F143">
        <v>0</v>
      </c>
      <c r="G143" t="b">
        <f>OR(DM_Control_Error_Param__3[[#This Row],[aperture shift (% actuator pitch)]]&gt;10,DM_Control_Error_Param__3[[#This Row],[log-amplitude variance ]]&gt;0.1)</f>
        <v>0</v>
      </c>
    </row>
    <row r="144" spans="1:7" x14ac:dyDescent="0.25">
      <c r="A144" s="1" t="s">
        <v>15</v>
      </c>
      <c r="B144">
        <v>2</v>
      </c>
      <c r="C144">
        <v>60</v>
      </c>
      <c r="D144" s="1" t="s">
        <v>7</v>
      </c>
      <c r="E144">
        <v>0</v>
      </c>
      <c r="F144">
        <v>0</v>
      </c>
      <c r="G144" t="b">
        <f>OR(DM_Control_Error_Param__3[[#This Row],[aperture shift (% actuator pitch)]]&gt;10,DM_Control_Error_Param__3[[#This Row],[log-amplitude variance ]]&gt;0.1)</f>
        <v>0</v>
      </c>
    </row>
    <row r="145" spans="1:7" x14ac:dyDescent="0.25">
      <c r="A145" s="1" t="s">
        <v>15</v>
      </c>
      <c r="B145">
        <v>2</v>
      </c>
      <c r="C145">
        <v>70</v>
      </c>
      <c r="D145" s="1" t="s">
        <v>7</v>
      </c>
      <c r="E145">
        <v>0</v>
      </c>
      <c r="F145">
        <v>0</v>
      </c>
      <c r="G145" t="b">
        <f>OR(DM_Control_Error_Param__3[[#This Row],[aperture shift (% actuator pitch)]]&gt;10,DM_Control_Error_Param__3[[#This Row],[log-amplitude variance ]]&gt;0.1)</f>
        <v>0</v>
      </c>
    </row>
    <row r="146" spans="1:7" x14ac:dyDescent="0.25">
      <c r="A146" s="1" t="s">
        <v>15</v>
      </c>
      <c r="B146">
        <v>2</v>
      </c>
      <c r="C146">
        <v>80</v>
      </c>
      <c r="D146" s="1" t="s">
        <v>7</v>
      </c>
      <c r="E146">
        <v>0</v>
      </c>
      <c r="F146">
        <v>0</v>
      </c>
      <c r="G146" t="b">
        <f>OR(DM_Control_Error_Param__3[[#This Row],[aperture shift (% actuator pitch)]]&gt;10,DM_Control_Error_Param__3[[#This Row],[log-amplitude variance ]]&gt;0.1)</f>
        <v>0</v>
      </c>
    </row>
    <row r="147" spans="1:7" x14ac:dyDescent="0.25">
      <c r="A147" s="1" t="s">
        <v>17</v>
      </c>
      <c r="B147">
        <v>14</v>
      </c>
      <c r="C147">
        <v>0</v>
      </c>
      <c r="D147" s="1" t="s">
        <v>7</v>
      </c>
      <c r="E147">
        <v>0.7</v>
      </c>
      <c r="F147">
        <v>3.0000000000000001E-3</v>
      </c>
      <c r="G147" t="b">
        <f>OR(DM_Control_Error_Param__3[[#This Row],[aperture shift (% actuator pitch)]]&gt;10,DM_Control_Error_Param__3[[#This Row],[log-amplitude variance ]]&gt;0.1)</f>
        <v>0</v>
      </c>
    </row>
    <row r="148" spans="1:7" x14ac:dyDescent="0.25">
      <c r="A148" s="1" t="s">
        <v>17</v>
      </c>
      <c r="B148">
        <v>14</v>
      </c>
      <c r="C148">
        <v>30</v>
      </c>
      <c r="D148" s="1" t="s">
        <v>7</v>
      </c>
      <c r="E148">
        <v>0.8</v>
      </c>
      <c r="F148">
        <v>3.0000000000000001E-3</v>
      </c>
      <c r="G148" t="b">
        <f>OR(DM_Control_Error_Param__3[[#This Row],[aperture shift (% actuator pitch)]]&gt;10,DM_Control_Error_Param__3[[#This Row],[log-amplitude variance ]]&gt;0.1)</f>
        <v>0</v>
      </c>
    </row>
    <row r="149" spans="1:7" x14ac:dyDescent="0.25">
      <c r="A149" s="1" t="s">
        <v>17</v>
      </c>
      <c r="B149">
        <v>14</v>
      </c>
      <c r="C149">
        <v>45</v>
      </c>
      <c r="D149" s="1" t="s">
        <v>7</v>
      </c>
      <c r="E149">
        <v>0.7</v>
      </c>
      <c r="F149">
        <v>2E-3</v>
      </c>
      <c r="G149" t="b">
        <f>OR(DM_Control_Error_Param__3[[#This Row],[aperture shift (% actuator pitch)]]&gt;10,DM_Control_Error_Param__3[[#This Row],[log-amplitude variance ]]&gt;0.1)</f>
        <v>0</v>
      </c>
    </row>
    <row r="150" spans="1:7" x14ac:dyDescent="0.25">
      <c r="A150" s="1" t="s">
        <v>17</v>
      </c>
      <c r="B150">
        <v>14</v>
      </c>
      <c r="C150">
        <v>60</v>
      </c>
      <c r="D150" s="1" t="s">
        <v>7</v>
      </c>
      <c r="E150">
        <v>0.8</v>
      </c>
      <c r="F150">
        <v>3.0000000000000001E-3</v>
      </c>
      <c r="G150" t="b">
        <f>OR(DM_Control_Error_Param__3[[#This Row],[aperture shift (% actuator pitch)]]&gt;10,DM_Control_Error_Param__3[[#This Row],[log-amplitude variance ]]&gt;0.1)</f>
        <v>0</v>
      </c>
    </row>
    <row r="151" spans="1:7" x14ac:dyDescent="0.25">
      <c r="A151" s="1" t="s">
        <v>17</v>
      </c>
      <c r="B151">
        <v>14</v>
      </c>
      <c r="C151">
        <v>70</v>
      </c>
      <c r="D151" s="1" t="s">
        <v>7</v>
      </c>
      <c r="E151">
        <v>0.9</v>
      </c>
      <c r="F151">
        <v>4.0000000000000001E-3</v>
      </c>
      <c r="G151" t="b">
        <f>OR(DM_Control_Error_Param__3[[#This Row],[aperture shift (% actuator pitch)]]&gt;10,DM_Control_Error_Param__3[[#This Row],[log-amplitude variance ]]&gt;0.1)</f>
        <v>0</v>
      </c>
    </row>
    <row r="152" spans="1:7" x14ac:dyDescent="0.25">
      <c r="A152" s="1" t="s">
        <v>17</v>
      </c>
      <c r="B152">
        <v>14</v>
      </c>
      <c r="C152">
        <v>80</v>
      </c>
      <c r="D152" s="1" t="s">
        <v>7</v>
      </c>
      <c r="E152">
        <v>1.2</v>
      </c>
      <c r="F152">
        <v>8.0000000000000002E-3</v>
      </c>
      <c r="G152" t="b">
        <f>OR(DM_Control_Error_Param__3[[#This Row],[aperture shift (% actuator pitch)]]&gt;10,DM_Control_Error_Param__3[[#This Row],[log-amplitude variance ]]&gt;0.1)</f>
        <v>0</v>
      </c>
    </row>
    <row r="153" spans="1:7" x14ac:dyDescent="0.25">
      <c r="A153" s="1" t="s">
        <v>17</v>
      </c>
      <c r="B153">
        <v>11</v>
      </c>
      <c r="C153">
        <v>0</v>
      </c>
      <c r="D153" s="1" t="s">
        <v>7</v>
      </c>
      <c r="E153">
        <v>0.9</v>
      </c>
      <c r="F153">
        <v>4.0000000000000001E-3</v>
      </c>
      <c r="G153" t="b">
        <f>OR(DM_Control_Error_Param__3[[#This Row],[aperture shift (% actuator pitch)]]&gt;10,DM_Control_Error_Param__3[[#This Row],[log-amplitude variance ]]&gt;0.1)</f>
        <v>0</v>
      </c>
    </row>
    <row r="154" spans="1:7" x14ac:dyDescent="0.25">
      <c r="A154" s="1" t="s">
        <v>17</v>
      </c>
      <c r="B154">
        <v>11</v>
      </c>
      <c r="C154">
        <v>30</v>
      </c>
      <c r="D154" s="1" t="s">
        <v>7</v>
      </c>
      <c r="E154">
        <v>0.9</v>
      </c>
      <c r="F154">
        <v>4.0000000000000001E-3</v>
      </c>
      <c r="G154" t="b">
        <f>OR(DM_Control_Error_Param__3[[#This Row],[aperture shift (% actuator pitch)]]&gt;10,DM_Control_Error_Param__3[[#This Row],[log-amplitude variance ]]&gt;0.1)</f>
        <v>0</v>
      </c>
    </row>
    <row r="155" spans="1:7" x14ac:dyDescent="0.25">
      <c r="A155" s="1" t="s">
        <v>17</v>
      </c>
      <c r="B155">
        <v>11</v>
      </c>
      <c r="C155">
        <v>45</v>
      </c>
      <c r="D155" s="1" t="s">
        <v>7</v>
      </c>
      <c r="E155">
        <v>0.9</v>
      </c>
      <c r="F155">
        <v>4.0000000000000001E-3</v>
      </c>
      <c r="G155" t="b">
        <f>OR(DM_Control_Error_Param__3[[#This Row],[aperture shift (% actuator pitch)]]&gt;10,DM_Control_Error_Param__3[[#This Row],[log-amplitude variance ]]&gt;0.1)</f>
        <v>0</v>
      </c>
    </row>
    <row r="156" spans="1:7" x14ac:dyDescent="0.25">
      <c r="A156" s="1" t="s">
        <v>17</v>
      </c>
      <c r="B156">
        <v>11</v>
      </c>
      <c r="C156">
        <v>60</v>
      </c>
      <c r="D156" s="1" t="s">
        <v>7</v>
      </c>
      <c r="E156">
        <v>0.9</v>
      </c>
      <c r="F156">
        <v>4.0000000000000001E-3</v>
      </c>
      <c r="G156" t="b">
        <f>OR(DM_Control_Error_Param__3[[#This Row],[aperture shift (% actuator pitch)]]&gt;10,DM_Control_Error_Param__3[[#This Row],[log-amplitude variance ]]&gt;0.1)</f>
        <v>0</v>
      </c>
    </row>
    <row r="157" spans="1:7" x14ac:dyDescent="0.25">
      <c r="A157" s="1" t="s">
        <v>17</v>
      </c>
      <c r="B157">
        <v>11</v>
      </c>
      <c r="C157">
        <v>70</v>
      </c>
      <c r="D157" s="1" t="s">
        <v>7</v>
      </c>
      <c r="E157">
        <v>1.1000000000000001</v>
      </c>
      <c r="F157">
        <v>6.0000000000000001E-3</v>
      </c>
      <c r="G157" t="b">
        <f>OR(DM_Control_Error_Param__3[[#This Row],[aperture shift (% actuator pitch)]]&gt;10,DM_Control_Error_Param__3[[#This Row],[log-amplitude variance ]]&gt;0.1)</f>
        <v>0</v>
      </c>
    </row>
    <row r="158" spans="1:7" x14ac:dyDescent="0.25">
      <c r="A158" s="1" t="s">
        <v>17</v>
      </c>
      <c r="B158">
        <v>11</v>
      </c>
      <c r="C158">
        <v>80</v>
      </c>
      <c r="D158" s="1" t="s">
        <v>7</v>
      </c>
      <c r="E158">
        <v>1.5</v>
      </c>
      <c r="F158">
        <v>1.2E-2</v>
      </c>
      <c r="G158" t="b">
        <f>OR(DM_Control_Error_Param__3[[#This Row],[aperture shift (% actuator pitch)]]&gt;10,DM_Control_Error_Param__3[[#This Row],[log-amplitude variance ]]&gt;0.1)</f>
        <v>0</v>
      </c>
    </row>
    <row r="159" spans="1:7" x14ac:dyDescent="0.25">
      <c r="A159" s="1" t="s">
        <v>17</v>
      </c>
      <c r="B159">
        <v>8</v>
      </c>
      <c r="C159">
        <v>0</v>
      </c>
      <c r="D159" s="1" t="s">
        <v>7</v>
      </c>
      <c r="E159">
        <v>1.2</v>
      </c>
      <c r="F159">
        <v>7.0000000000000001E-3</v>
      </c>
      <c r="G159" t="b">
        <f>OR(DM_Control_Error_Param__3[[#This Row],[aperture shift (% actuator pitch)]]&gt;10,DM_Control_Error_Param__3[[#This Row],[log-amplitude variance ]]&gt;0.1)</f>
        <v>0</v>
      </c>
    </row>
    <row r="160" spans="1:7" x14ac:dyDescent="0.25">
      <c r="A160" s="1" t="s">
        <v>17</v>
      </c>
      <c r="B160">
        <v>8</v>
      </c>
      <c r="C160">
        <v>30</v>
      </c>
      <c r="D160" s="1" t="s">
        <v>7</v>
      </c>
      <c r="E160">
        <v>1.2</v>
      </c>
      <c r="F160">
        <v>7.0000000000000001E-3</v>
      </c>
      <c r="G160" t="b">
        <f>OR(DM_Control_Error_Param__3[[#This Row],[aperture shift (% actuator pitch)]]&gt;10,DM_Control_Error_Param__3[[#This Row],[log-amplitude variance ]]&gt;0.1)</f>
        <v>0</v>
      </c>
    </row>
    <row r="161" spans="1:7" x14ac:dyDescent="0.25">
      <c r="A161" s="1" t="s">
        <v>17</v>
      </c>
      <c r="B161">
        <v>8</v>
      </c>
      <c r="C161">
        <v>45</v>
      </c>
      <c r="D161" s="1" t="s">
        <v>7</v>
      </c>
      <c r="E161">
        <v>1.1000000000000001</v>
      </c>
      <c r="F161">
        <v>6.0000000000000001E-3</v>
      </c>
      <c r="G161" t="b">
        <f>OR(DM_Control_Error_Param__3[[#This Row],[aperture shift (% actuator pitch)]]&gt;10,DM_Control_Error_Param__3[[#This Row],[log-amplitude variance ]]&gt;0.1)</f>
        <v>0</v>
      </c>
    </row>
    <row r="162" spans="1:7" x14ac:dyDescent="0.25">
      <c r="A162" s="1" t="s">
        <v>17</v>
      </c>
      <c r="B162">
        <v>8</v>
      </c>
      <c r="C162">
        <v>60</v>
      </c>
      <c r="D162" s="1" t="s">
        <v>7</v>
      </c>
      <c r="E162">
        <v>1.2</v>
      </c>
      <c r="F162">
        <v>7.0000000000000001E-3</v>
      </c>
      <c r="G162" t="b">
        <f>OR(DM_Control_Error_Param__3[[#This Row],[aperture shift (% actuator pitch)]]&gt;10,DM_Control_Error_Param__3[[#This Row],[log-amplitude variance ]]&gt;0.1)</f>
        <v>0</v>
      </c>
    </row>
    <row r="163" spans="1:7" x14ac:dyDescent="0.25">
      <c r="A163" s="1" t="s">
        <v>17</v>
      </c>
      <c r="B163">
        <v>8</v>
      </c>
      <c r="C163">
        <v>70</v>
      </c>
      <c r="D163" s="1" t="s">
        <v>7</v>
      </c>
      <c r="E163">
        <v>1.4</v>
      </c>
      <c r="F163">
        <v>0.01</v>
      </c>
      <c r="G163" t="b">
        <f>OR(DM_Control_Error_Param__3[[#This Row],[aperture shift (% actuator pitch)]]&gt;10,DM_Control_Error_Param__3[[#This Row],[log-amplitude variance ]]&gt;0.1)</f>
        <v>0</v>
      </c>
    </row>
    <row r="164" spans="1:7" x14ac:dyDescent="0.25">
      <c r="A164" s="1" t="s">
        <v>17</v>
      </c>
      <c r="B164">
        <v>8</v>
      </c>
      <c r="C164">
        <v>80</v>
      </c>
      <c r="D164" s="1" t="s">
        <v>7</v>
      </c>
      <c r="E164">
        <v>2</v>
      </c>
      <c r="F164">
        <v>0.02</v>
      </c>
      <c r="G164" t="b">
        <f>OR(DM_Control_Error_Param__3[[#This Row],[aperture shift (% actuator pitch)]]&gt;10,DM_Control_Error_Param__3[[#This Row],[log-amplitude variance ]]&gt;0.1)</f>
        <v>0</v>
      </c>
    </row>
    <row r="165" spans="1:7" x14ac:dyDescent="0.25">
      <c r="A165" s="1" t="s">
        <v>17</v>
      </c>
      <c r="B165">
        <v>5</v>
      </c>
      <c r="C165">
        <v>0</v>
      </c>
      <c r="D165" s="1" t="s">
        <v>7</v>
      </c>
      <c r="E165">
        <v>1.8</v>
      </c>
      <c r="F165">
        <v>1.4999999999999999E-2</v>
      </c>
      <c r="G165" t="b">
        <f>OR(DM_Control_Error_Param__3[[#This Row],[aperture shift (% actuator pitch)]]&gt;10,DM_Control_Error_Param__3[[#This Row],[log-amplitude variance ]]&gt;0.1)</f>
        <v>0</v>
      </c>
    </row>
    <row r="166" spans="1:7" x14ac:dyDescent="0.25">
      <c r="A166" s="1" t="s">
        <v>17</v>
      </c>
      <c r="B166">
        <v>5</v>
      </c>
      <c r="C166">
        <v>30</v>
      </c>
      <c r="D166" s="1" t="s">
        <v>7</v>
      </c>
      <c r="E166">
        <v>1.8</v>
      </c>
      <c r="F166">
        <v>1.4999999999999999E-2</v>
      </c>
      <c r="G166" t="b">
        <f>OR(DM_Control_Error_Param__3[[#This Row],[aperture shift (% actuator pitch)]]&gt;10,DM_Control_Error_Param__3[[#This Row],[log-amplitude variance ]]&gt;0.1)</f>
        <v>0</v>
      </c>
    </row>
    <row r="167" spans="1:7" x14ac:dyDescent="0.25">
      <c r="A167" s="1" t="s">
        <v>17</v>
      </c>
      <c r="B167">
        <v>5</v>
      </c>
      <c r="C167">
        <v>45</v>
      </c>
      <c r="D167" s="1" t="s">
        <v>7</v>
      </c>
      <c r="E167">
        <v>1.7</v>
      </c>
      <c r="F167">
        <v>1.2999999999999999E-2</v>
      </c>
      <c r="G167" t="b">
        <f>OR(DM_Control_Error_Param__3[[#This Row],[aperture shift (% actuator pitch)]]&gt;10,DM_Control_Error_Param__3[[#This Row],[log-amplitude variance ]]&gt;0.1)</f>
        <v>0</v>
      </c>
    </row>
    <row r="168" spans="1:7" x14ac:dyDescent="0.25">
      <c r="A168" s="1" t="s">
        <v>17</v>
      </c>
      <c r="B168">
        <v>5</v>
      </c>
      <c r="C168">
        <v>60</v>
      </c>
      <c r="D168" s="1" t="s">
        <v>7</v>
      </c>
      <c r="E168">
        <v>1.8</v>
      </c>
      <c r="F168">
        <v>1.6E-2</v>
      </c>
      <c r="G168" t="b">
        <f>OR(DM_Control_Error_Param__3[[#This Row],[aperture shift (% actuator pitch)]]&gt;10,DM_Control_Error_Param__3[[#This Row],[log-amplitude variance ]]&gt;0.1)</f>
        <v>0</v>
      </c>
    </row>
    <row r="169" spans="1:7" x14ac:dyDescent="0.25">
      <c r="A169" s="1" t="s">
        <v>17</v>
      </c>
      <c r="B169">
        <v>5</v>
      </c>
      <c r="C169">
        <v>70</v>
      </c>
      <c r="D169" s="1" t="s">
        <v>7</v>
      </c>
      <c r="E169">
        <v>2.1</v>
      </c>
      <c r="F169">
        <v>2.3E-2</v>
      </c>
      <c r="G169" t="b">
        <f>OR(DM_Control_Error_Param__3[[#This Row],[aperture shift (% actuator pitch)]]&gt;10,DM_Control_Error_Param__3[[#This Row],[log-amplitude variance ]]&gt;0.1)</f>
        <v>0</v>
      </c>
    </row>
    <row r="170" spans="1:7" x14ac:dyDescent="0.25">
      <c r="A170" s="1" t="s">
        <v>17</v>
      </c>
      <c r="B170">
        <v>5</v>
      </c>
      <c r="C170">
        <v>80</v>
      </c>
      <c r="D170" s="1" t="s">
        <v>7</v>
      </c>
      <c r="E170">
        <v>2.9</v>
      </c>
      <c r="F170">
        <v>4.3999999999999997E-2</v>
      </c>
      <c r="G170" t="b">
        <f>OR(DM_Control_Error_Param__3[[#This Row],[aperture shift (% actuator pitch)]]&gt;10,DM_Control_Error_Param__3[[#This Row],[log-amplitude variance ]]&gt;0.1)</f>
        <v>0</v>
      </c>
    </row>
    <row r="171" spans="1:7" x14ac:dyDescent="0.25">
      <c r="A171" s="1" t="s">
        <v>17</v>
      </c>
      <c r="B171">
        <v>3</v>
      </c>
      <c r="C171">
        <v>0</v>
      </c>
      <c r="D171" s="1" t="s">
        <v>7</v>
      </c>
      <c r="E171">
        <v>2.7</v>
      </c>
      <c r="F171">
        <v>3.4000000000000002E-2</v>
      </c>
      <c r="G171" t="b">
        <f>OR(DM_Control_Error_Param__3[[#This Row],[aperture shift (% actuator pitch)]]&gt;10,DM_Control_Error_Param__3[[#This Row],[log-amplitude variance ]]&gt;0.1)</f>
        <v>0</v>
      </c>
    </row>
    <row r="172" spans="1:7" x14ac:dyDescent="0.25">
      <c r="A172" s="1" t="s">
        <v>17</v>
      </c>
      <c r="B172">
        <v>3</v>
      </c>
      <c r="C172">
        <v>30</v>
      </c>
      <c r="D172" s="1" t="s">
        <v>7</v>
      </c>
      <c r="E172">
        <v>2.7</v>
      </c>
      <c r="F172">
        <v>3.5000000000000003E-2</v>
      </c>
      <c r="G172" t="b">
        <f>OR(DM_Control_Error_Param__3[[#This Row],[aperture shift (% actuator pitch)]]&gt;10,DM_Control_Error_Param__3[[#This Row],[log-amplitude variance ]]&gt;0.1)</f>
        <v>0</v>
      </c>
    </row>
    <row r="173" spans="1:7" x14ac:dyDescent="0.25">
      <c r="A173" s="1" t="s">
        <v>17</v>
      </c>
      <c r="B173">
        <v>3</v>
      </c>
      <c r="C173">
        <v>45</v>
      </c>
      <c r="D173" s="1" t="s">
        <v>7</v>
      </c>
      <c r="E173">
        <v>2.5</v>
      </c>
      <c r="F173">
        <v>3.1E-2</v>
      </c>
      <c r="G173" t="b">
        <f>OR(DM_Control_Error_Param__3[[#This Row],[aperture shift (% actuator pitch)]]&gt;10,DM_Control_Error_Param__3[[#This Row],[log-amplitude variance ]]&gt;0.1)</f>
        <v>0</v>
      </c>
    </row>
    <row r="174" spans="1:7" x14ac:dyDescent="0.25">
      <c r="A174" s="1" t="s">
        <v>17</v>
      </c>
      <c r="B174">
        <v>3</v>
      </c>
      <c r="C174">
        <v>60</v>
      </c>
      <c r="D174" s="1" t="s">
        <v>7</v>
      </c>
      <c r="E174">
        <v>2.7</v>
      </c>
      <c r="F174">
        <v>3.6999999999999998E-2</v>
      </c>
      <c r="G174" t="b">
        <f>OR(DM_Control_Error_Param__3[[#This Row],[aperture shift (% actuator pitch)]]&gt;10,DM_Control_Error_Param__3[[#This Row],[log-amplitude variance ]]&gt;0.1)</f>
        <v>0</v>
      </c>
    </row>
    <row r="175" spans="1:7" x14ac:dyDescent="0.25">
      <c r="A175" s="1" t="s">
        <v>17</v>
      </c>
      <c r="B175">
        <v>3</v>
      </c>
      <c r="C175">
        <v>70</v>
      </c>
      <c r="D175" s="1" t="s">
        <v>7</v>
      </c>
      <c r="E175">
        <v>3.3</v>
      </c>
      <c r="F175">
        <v>5.2999999999999999E-2</v>
      </c>
      <c r="G175" t="b">
        <f>OR(DM_Control_Error_Param__3[[#This Row],[aperture shift (% actuator pitch)]]&gt;10,DM_Control_Error_Param__3[[#This Row],[log-amplitude variance ]]&gt;0.1)</f>
        <v>0</v>
      </c>
    </row>
    <row r="176" spans="1:7" x14ac:dyDescent="0.25">
      <c r="A176" s="1" t="s">
        <v>17</v>
      </c>
      <c r="B176">
        <v>2</v>
      </c>
      <c r="C176">
        <v>0</v>
      </c>
      <c r="D176" s="1" t="s">
        <v>7</v>
      </c>
      <c r="E176">
        <v>3.8</v>
      </c>
      <c r="F176">
        <v>6.7000000000000004E-2</v>
      </c>
      <c r="G176" t="b">
        <f>OR(DM_Control_Error_Param__3[[#This Row],[aperture shift (% actuator pitch)]]&gt;10,DM_Control_Error_Param__3[[#This Row],[log-amplitude variance ]]&gt;0.1)</f>
        <v>0</v>
      </c>
    </row>
    <row r="177" spans="1:7" x14ac:dyDescent="0.25">
      <c r="A177" s="1" t="s">
        <v>17</v>
      </c>
      <c r="B177">
        <v>2</v>
      </c>
      <c r="C177">
        <v>30</v>
      </c>
      <c r="D177" s="1" t="s">
        <v>7</v>
      </c>
      <c r="E177">
        <v>3.8</v>
      </c>
      <c r="F177">
        <v>6.9000000000000006E-2</v>
      </c>
      <c r="G177" t="b">
        <f>OR(DM_Control_Error_Param__3[[#This Row],[aperture shift (% actuator pitch)]]&gt;10,DM_Control_Error_Param__3[[#This Row],[log-amplitude variance ]]&gt;0.1)</f>
        <v>0</v>
      </c>
    </row>
    <row r="178" spans="1:7" x14ac:dyDescent="0.25">
      <c r="A178" s="1" t="s">
        <v>17</v>
      </c>
      <c r="B178">
        <v>2</v>
      </c>
      <c r="C178">
        <v>45</v>
      </c>
      <c r="D178" s="1" t="s">
        <v>7</v>
      </c>
      <c r="E178">
        <v>3.5</v>
      </c>
      <c r="F178">
        <v>0.06</v>
      </c>
      <c r="G178" t="b">
        <f>OR(DM_Control_Error_Param__3[[#This Row],[aperture shift (% actuator pitch)]]&gt;10,DM_Control_Error_Param__3[[#This Row],[log-amplitude variance ]]&gt;0.1)</f>
        <v>0</v>
      </c>
    </row>
    <row r="179" spans="1:7" x14ac:dyDescent="0.25">
      <c r="A179" s="1" t="s">
        <v>17</v>
      </c>
      <c r="B179">
        <v>2</v>
      </c>
      <c r="C179">
        <v>60</v>
      </c>
      <c r="D179" s="1" t="s">
        <v>7</v>
      </c>
      <c r="E179">
        <v>3.8</v>
      </c>
      <c r="F179">
        <v>7.2999999999999995E-2</v>
      </c>
      <c r="G179" t="b">
        <f>OR(DM_Control_Error_Param__3[[#This Row],[aperture shift (% actuator pitch)]]&gt;10,DM_Control_Error_Param__3[[#This Row],[log-amplitude variance ]]&gt;0.1)</f>
        <v>0</v>
      </c>
    </row>
    <row r="180" spans="1:7" x14ac:dyDescent="0.25">
      <c r="A180" s="1" t="s">
        <v>20</v>
      </c>
      <c r="B180">
        <v>14</v>
      </c>
      <c r="C180">
        <v>0</v>
      </c>
      <c r="D180" s="1" t="s">
        <v>7</v>
      </c>
      <c r="E180">
        <v>0</v>
      </c>
      <c r="F180">
        <v>0</v>
      </c>
      <c r="G180" t="b">
        <f>OR(DM_Control_Error_Param__3[[#This Row],[aperture shift (% actuator pitch)]]&gt;10,DM_Control_Error_Param__3[[#This Row],[log-amplitude variance ]]&gt;0.1)</f>
        <v>0</v>
      </c>
    </row>
    <row r="181" spans="1:7" x14ac:dyDescent="0.25">
      <c r="A181" s="1" t="s">
        <v>20</v>
      </c>
      <c r="B181">
        <v>14</v>
      </c>
      <c r="C181">
        <v>30</v>
      </c>
      <c r="D181" s="1" t="s">
        <v>7</v>
      </c>
      <c r="E181">
        <v>0</v>
      </c>
      <c r="F181">
        <v>0</v>
      </c>
      <c r="G181" t="b">
        <f>OR(DM_Control_Error_Param__3[[#This Row],[aperture shift (% actuator pitch)]]&gt;10,DM_Control_Error_Param__3[[#This Row],[log-amplitude variance ]]&gt;0.1)</f>
        <v>0</v>
      </c>
    </row>
    <row r="182" spans="1:7" x14ac:dyDescent="0.25">
      <c r="A182" s="1" t="s">
        <v>20</v>
      </c>
      <c r="B182">
        <v>14</v>
      </c>
      <c r="C182">
        <v>45</v>
      </c>
      <c r="D182" s="1" t="s">
        <v>7</v>
      </c>
      <c r="E182">
        <v>0</v>
      </c>
      <c r="F182">
        <v>0</v>
      </c>
      <c r="G182" t="b">
        <f>OR(DM_Control_Error_Param__3[[#This Row],[aperture shift (% actuator pitch)]]&gt;10,DM_Control_Error_Param__3[[#This Row],[log-amplitude variance ]]&gt;0.1)</f>
        <v>0</v>
      </c>
    </row>
    <row r="183" spans="1:7" x14ac:dyDescent="0.25">
      <c r="A183" s="1" t="s">
        <v>20</v>
      </c>
      <c r="B183">
        <v>14</v>
      </c>
      <c r="C183">
        <v>60</v>
      </c>
      <c r="D183" s="1" t="s">
        <v>7</v>
      </c>
      <c r="E183">
        <v>0</v>
      </c>
      <c r="F183">
        <v>0</v>
      </c>
      <c r="G183" t="b">
        <f>OR(DM_Control_Error_Param__3[[#This Row],[aperture shift (% actuator pitch)]]&gt;10,DM_Control_Error_Param__3[[#This Row],[log-amplitude variance ]]&gt;0.1)</f>
        <v>0</v>
      </c>
    </row>
    <row r="184" spans="1:7" x14ac:dyDescent="0.25">
      <c r="A184" s="1" t="s">
        <v>20</v>
      </c>
      <c r="B184">
        <v>14</v>
      </c>
      <c r="C184">
        <v>70</v>
      </c>
      <c r="D184" s="1" t="s">
        <v>7</v>
      </c>
      <c r="E184">
        <v>0</v>
      </c>
      <c r="F184">
        <v>0</v>
      </c>
      <c r="G184" t="b">
        <f>OR(DM_Control_Error_Param__3[[#This Row],[aperture shift (% actuator pitch)]]&gt;10,DM_Control_Error_Param__3[[#This Row],[log-amplitude variance ]]&gt;0.1)</f>
        <v>0</v>
      </c>
    </row>
    <row r="185" spans="1:7" x14ac:dyDescent="0.25">
      <c r="A185" s="1" t="s">
        <v>20</v>
      </c>
      <c r="B185">
        <v>14</v>
      </c>
      <c r="C185">
        <v>80</v>
      </c>
      <c r="D185" s="1" t="s">
        <v>7</v>
      </c>
      <c r="E185">
        <v>0</v>
      </c>
      <c r="F185">
        <v>0</v>
      </c>
      <c r="G185" t="b">
        <f>OR(DM_Control_Error_Param__3[[#This Row],[aperture shift (% actuator pitch)]]&gt;10,DM_Control_Error_Param__3[[#This Row],[log-amplitude variance ]]&gt;0.1)</f>
        <v>0</v>
      </c>
    </row>
    <row r="186" spans="1:7" x14ac:dyDescent="0.25">
      <c r="A186" s="1" t="s">
        <v>20</v>
      </c>
      <c r="B186">
        <v>11</v>
      </c>
      <c r="C186">
        <v>0</v>
      </c>
      <c r="D186" s="1" t="s">
        <v>7</v>
      </c>
      <c r="E186">
        <v>0</v>
      </c>
      <c r="F186">
        <v>0</v>
      </c>
      <c r="G186" t="b">
        <f>OR(DM_Control_Error_Param__3[[#This Row],[aperture shift (% actuator pitch)]]&gt;10,DM_Control_Error_Param__3[[#This Row],[log-amplitude variance ]]&gt;0.1)</f>
        <v>0</v>
      </c>
    </row>
    <row r="187" spans="1:7" x14ac:dyDescent="0.25">
      <c r="A187" s="1" t="s">
        <v>20</v>
      </c>
      <c r="B187">
        <v>11</v>
      </c>
      <c r="C187">
        <v>30</v>
      </c>
      <c r="D187" s="1" t="s">
        <v>7</v>
      </c>
      <c r="E187">
        <v>0</v>
      </c>
      <c r="F187">
        <v>0</v>
      </c>
      <c r="G187" t="b">
        <f>OR(DM_Control_Error_Param__3[[#This Row],[aperture shift (% actuator pitch)]]&gt;10,DM_Control_Error_Param__3[[#This Row],[log-amplitude variance ]]&gt;0.1)</f>
        <v>0</v>
      </c>
    </row>
    <row r="188" spans="1:7" x14ac:dyDescent="0.25">
      <c r="A188" s="1" t="s">
        <v>20</v>
      </c>
      <c r="B188">
        <v>11</v>
      </c>
      <c r="C188">
        <v>45</v>
      </c>
      <c r="D188" s="1" t="s">
        <v>7</v>
      </c>
      <c r="E188">
        <v>0</v>
      </c>
      <c r="F188">
        <v>0</v>
      </c>
      <c r="G188" t="b">
        <f>OR(DM_Control_Error_Param__3[[#This Row],[aperture shift (% actuator pitch)]]&gt;10,DM_Control_Error_Param__3[[#This Row],[log-amplitude variance ]]&gt;0.1)</f>
        <v>0</v>
      </c>
    </row>
    <row r="189" spans="1:7" x14ac:dyDescent="0.25">
      <c r="A189" s="1" t="s">
        <v>20</v>
      </c>
      <c r="B189">
        <v>11</v>
      </c>
      <c r="C189">
        <v>60</v>
      </c>
      <c r="D189" s="1" t="s">
        <v>7</v>
      </c>
      <c r="E189">
        <v>0</v>
      </c>
      <c r="F189">
        <v>0</v>
      </c>
      <c r="G189" t="b">
        <f>OR(DM_Control_Error_Param__3[[#This Row],[aperture shift (% actuator pitch)]]&gt;10,DM_Control_Error_Param__3[[#This Row],[log-amplitude variance ]]&gt;0.1)</f>
        <v>0</v>
      </c>
    </row>
    <row r="190" spans="1:7" x14ac:dyDescent="0.25">
      <c r="A190" s="1" t="s">
        <v>20</v>
      </c>
      <c r="B190">
        <v>11</v>
      </c>
      <c r="C190">
        <v>70</v>
      </c>
      <c r="D190" s="1" t="s">
        <v>7</v>
      </c>
      <c r="E190">
        <v>0</v>
      </c>
      <c r="F190">
        <v>0</v>
      </c>
      <c r="G190" t="b">
        <f>OR(DM_Control_Error_Param__3[[#This Row],[aperture shift (% actuator pitch)]]&gt;10,DM_Control_Error_Param__3[[#This Row],[log-amplitude variance ]]&gt;0.1)</f>
        <v>0</v>
      </c>
    </row>
    <row r="191" spans="1:7" x14ac:dyDescent="0.25">
      <c r="A191" s="1" t="s">
        <v>20</v>
      </c>
      <c r="B191">
        <v>11</v>
      </c>
      <c r="C191">
        <v>80</v>
      </c>
      <c r="D191" s="1" t="s">
        <v>7</v>
      </c>
      <c r="E191">
        <v>0</v>
      </c>
      <c r="F191">
        <v>0</v>
      </c>
      <c r="G191" t="b">
        <f>OR(DM_Control_Error_Param__3[[#This Row],[aperture shift (% actuator pitch)]]&gt;10,DM_Control_Error_Param__3[[#This Row],[log-amplitude variance ]]&gt;0.1)</f>
        <v>0</v>
      </c>
    </row>
    <row r="192" spans="1:7" x14ac:dyDescent="0.25">
      <c r="A192" s="1" t="s">
        <v>20</v>
      </c>
      <c r="B192">
        <v>8</v>
      </c>
      <c r="C192">
        <v>0</v>
      </c>
      <c r="D192" s="1" t="s">
        <v>7</v>
      </c>
      <c r="E192">
        <v>0</v>
      </c>
      <c r="F192">
        <v>0</v>
      </c>
      <c r="G192" t="b">
        <f>OR(DM_Control_Error_Param__3[[#This Row],[aperture shift (% actuator pitch)]]&gt;10,DM_Control_Error_Param__3[[#This Row],[log-amplitude variance ]]&gt;0.1)</f>
        <v>0</v>
      </c>
    </row>
    <row r="193" spans="1:7" x14ac:dyDescent="0.25">
      <c r="A193" s="1" t="s">
        <v>20</v>
      </c>
      <c r="B193">
        <v>8</v>
      </c>
      <c r="C193">
        <v>30</v>
      </c>
      <c r="D193" s="1" t="s">
        <v>7</v>
      </c>
      <c r="E193">
        <v>0</v>
      </c>
      <c r="F193">
        <v>0</v>
      </c>
      <c r="G193" t="b">
        <f>OR(DM_Control_Error_Param__3[[#This Row],[aperture shift (% actuator pitch)]]&gt;10,DM_Control_Error_Param__3[[#This Row],[log-amplitude variance ]]&gt;0.1)</f>
        <v>0</v>
      </c>
    </row>
    <row r="194" spans="1:7" x14ac:dyDescent="0.25">
      <c r="A194" s="1" t="s">
        <v>20</v>
      </c>
      <c r="B194">
        <v>8</v>
      </c>
      <c r="C194">
        <v>45</v>
      </c>
      <c r="D194" s="1" t="s">
        <v>7</v>
      </c>
      <c r="E194">
        <v>0</v>
      </c>
      <c r="F194">
        <v>0</v>
      </c>
      <c r="G194" t="b">
        <f>OR(DM_Control_Error_Param__3[[#This Row],[aperture shift (% actuator pitch)]]&gt;10,DM_Control_Error_Param__3[[#This Row],[log-amplitude variance ]]&gt;0.1)</f>
        <v>0</v>
      </c>
    </row>
    <row r="195" spans="1:7" x14ac:dyDescent="0.25">
      <c r="A195" s="1" t="s">
        <v>20</v>
      </c>
      <c r="B195">
        <v>8</v>
      </c>
      <c r="C195">
        <v>60</v>
      </c>
      <c r="D195" s="1" t="s">
        <v>7</v>
      </c>
      <c r="E195">
        <v>0</v>
      </c>
      <c r="F195">
        <v>0</v>
      </c>
      <c r="G195" t="b">
        <f>OR(DM_Control_Error_Param__3[[#This Row],[aperture shift (% actuator pitch)]]&gt;10,DM_Control_Error_Param__3[[#This Row],[log-amplitude variance ]]&gt;0.1)</f>
        <v>0</v>
      </c>
    </row>
    <row r="196" spans="1:7" x14ac:dyDescent="0.25">
      <c r="A196" s="1" t="s">
        <v>20</v>
      </c>
      <c r="B196">
        <v>8</v>
      </c>
      <c r="C196">
        <v>70</v>
      </c>
      <c r="D196" s="1" t="s">
        <v>7</v>
      </c>
      <c r="E196">
        <v>0</v>
      </c>
      <c r="F196">
        <v>0</v>
      </c>
      <c r="G196" t="b">
        <f>OR(DM_Control_Error_Param__3[[#This Row],[aperture shift (% actuator pitch)]]&gt;10,DM_Control_Error_Param__3[[#This Row],[log-amplitude variance ]]&gt;0.1)</f>
        <v>0</v>
      </c>
    </row>
    <row r="197" spans="1:7" x14ac:dyDescent="0.25">
      <c r="A197" s="1" t="s">
        <v>20</v>
      </c>
      <c r="B197">
        <v>8</v>
      </c>
      <c r="C197">
        <v>80</v>
      </c>
      <c r="D197" s="1" t="s">
        <v>7</v>
      </c>
      <c r="E197">
        <v>0</v>
      </c>
      <c r="F197">
        <v>0</v>
      </c>
      <c r="G197" t="b">
        <f>OR(DM_Control_Error_Param__3[[#This Row],[aperture shift (% actuator pitch)]]&gt;10,DM_Control_Error_Param__3[[#This Row],[log-amplitude variance ]]&gt;0.1)</f>
        <v>0</v>
      </c>
    </row>
    <row r="198" spans="1:7" x14ac:dyDescent="0.25">
      <c r="A198" s="1" t="s">
        <v>20</v>
      </c>
      <c r="B198">
        <v>5</v>
      </c>
      <c r="C198">
        <v>0</v>
      </c>
      <c r="D198" s="1" t="s">
        <v>7</v>
      </c>
      <c r="E198">
        <v>0</v>
      </c>
      <c r="F198">
        <v>0</v>
      </c>
      <c r="G198" t="b">
        <f>OR(DM_Control_Error_Param__3[[#This Row],[aperture shift (% actuator pitch)]]&gt;10,DM_Control_Error_Param__3[[#This Row],[log-amplitude variance ]]&gt;0.1)</f>
        <v>0</v>
      </c>
    </row>
    <row r="199" spans="1:7" x14ac:dyDescent="0.25">
      <c r="A199" s="1" t="s">
        <v>20</v>
      </c>
      <c r="B199">
        <v>5</v>
      </c>
      <c r="C199">
        <v>30</v>
      </c>
      <c r="D199" s="1" t="s">
        <v>7</v>
      </c>
      <c r="E199">
        <v>0</v>
      </c>
      <c r="F199">
        <v>0</v>
      </c>
      <c r="G199" t="b">
        <f>OR(DM_Control_Error_Param__3[[#This Row],[aperture shift (% actuator pitch)]]&gt;10,DM_Control_Error_Param__3[[#This Row],[log-amplitude variance ]]&gt;0.1)</f>
        <v>0</v>
      </c>
    </row>
    <row r="200" spans="1:7" x14ac:dyDescent="0.25">
      <c r="A200" s="1" t="s">
        <v>20</v>
      </c>
      <c r="B200">
        <v>5</v>
      </c>
      <c r="C200">
        <v>45</v>
      </c>
      <c r="D200" s="1" t="s">
        <v>7</v>
      </c>
      <c r="E200">
        <v>0</v>
      </c>
      <c r="F200">
        <v>0</v>
      </c>
      <c r="G200" t="b">
        <f>OR(DM_Control_Error_Param__3[[#This Row],[aperture shift (% actuator pitch)]]&gt;10,DM_Control_Error_Param__3[[#This Row],[log-amplitude variance ]]&gt;0.1)</f>
        <v>0</v>
      </c>
    </row>
    <row r="201" spans="1:7" x14ac:dyDescent="0.25">
      <c r="A201" s="1" t="s">
        <v>20</v>
      </c>
      <c r="B201">
        <v>5</v>
      </c>
      <c r="C201">
        <v>60</v>
      </c>
      <c r="D201" s="1" t="s">
        <v>7</v>
      </c>
      <c r="E201">
        <v>0</v>
      </c>
      <c r="F201">
        <v>0</v>
      </c>
      <c r="G201" t="b">
        <f>OR(DM_Control_Error_Param__3[[#This Row],[aperture shift (% actuator pitch)]]&gt;10,DM_Control_Error_Param__3[[#This Row],[log-amplitude variance ]]&gt;0.1)</f>
        <v>0</v>
      </c>
    </row>
    <row r="202" spans="1:7" x14ac:dyDescent="0.25">
      <c r="A202" s="1" t="s">
        <v>20</v>
      </c>
      <c r="B202">
        <v>5</v>
      </c>
      <c r="C202">
        <v>70</v>
      </c>
      <c r="D202" s="1" t="s">
        <v>7</v>
      </c>
      <c r="E202">
        <v>0</v>
      </c>
      <c r="F202">
        <v>0</v>
      </c>
      <c r="G202" t="b">
        <f>OR(DM_Control_Error_Param__3[[#This Row],[aperture shift (% actuator pitch)]]&gt;10,DM_Control_Error_Param__3[[#This Row],[log-amplitude variance ]]&gt;0.1)</f>
        <v>0</v>
      </c>
    </row>
    <row r="203" spans="1:7" x14ac:dyDescent="0.25">
      <c r="A203" s="1" t="s">
        <v>20</v>
      </c>
      <c r="B203">
        <v>5</v>
      </c>
      <c r="C203">
        <v>80</v>
      </c>
      <c r="D203" s="1" t="s">
        <v>7</v>
      </c>
      <c r="E203">
        <v>0</v>
      </c>
      <c r="F203">
        <v>0</v>
      </c>
      <c r="G203" t="b">
        <f>OR(DM_Control_Error_Param__3[[#This Row],[aperture shift (% actuator pitch)]]&gt;10,DM_Control_Error_Param__3[[#This Row],[log-amplitude variance ]]&gt;0.1)</f>
        <v>0</v>
      </c>
    </row>
    <row r="204" spans="1:7" x14ac:dyDescent="0.25">
      <c r="A204" s="1" t="s">
        <v>20</v>
      </c>
      <c r="B204">
        <v>3</v>
      </c>
      <c r="C204">
        <v>0</v>
      </c>
      <c r="D204" s="1" t="s">
        <v>7</v>
      </c>
      <c r="E204">
        <v>0</v>
      </c>
      <c r="F204">
        <v>0</v>
      </c>
      <c r="G204" t="b">
        <f>OR(DM_Control_Error_Param__3[[#This Row],[aperture shift (% actuator pitch)]]&gt;10,DM_Control_Error_Param__3[[#This Row],[log-amplitude variance ]]&gt;0.1)</f>
        <v>0</v>
      </c>
    </row>
    <row r="205" spans="1:7" x14ac:dyDescent="0.25">
      <c r="A205" s="1" t="s">
        <v>20</v>
      </c>
      <c r="B205">
        <v>3</v>
      </c>
      <c r="C205">
        <v>30</v>
      </c>
      <c r="D205" s="1" t="s">
        <v>7</v>
      </c>
      <c r="E205">
        <v>0</v>
      </c>
      <c r="F205">
        <v>0</v>
      </c>
      <c r="G205" t="b">
        <f>OR(DM_Control_Error_Param__3[[#This Row],[aperture shift (% actuator pitch)]]&gt;10,DM_Control_Error_Param__3[[#This Row],[log-amplitude variance ]]&gt;0.1)</f>
        <v>0</v>
      </c>
    </row>
    <row r="206" spans="1:7" x14ac:dyDescent="0.25">
      <c r="A206" s="1" t="s">
        <v>20</v>
      </c>
      <c r="B206">
        <v>3</v>
      </c>
      <c r="C206">
        <v>45</v>
      </c>
      <c r="D206" s="1" t="s">
        <v>7</v>
      </c>
      <c r="E206">
        <v>0</v>
      </c>
      <c r="F206">
        <v>0</v>
      </c>
      <c r="G206" t="b">
        <f>OR(DM_Control_Error_Param__3[[#This Row],[aperture shift (% actuator pitch)]]&gt;10,DM_Control_Error_Param__3[[#This Row],[log-amplitude variance ]]&gt;0.1)</f>
        <v>0</v>
      </c>
    </row>
    <row r="207" spans="1:7" x14ac:dyDescent="0.25">
      <c r="A207" s="1" t="s">
        <v>20</v>
      </c>
      <c r="B207">
        <v>3</v>
      </c>
      <c r="C207">
        <v>60</v>
      </c>
      <c r="D207" s="1" t="s">
        <v>7</v>
      </c>
      <c r="E207">
        <v>0</v>
      </c>
      <c r="F207">
        <v>0</v>
      </c>
      <c r="G207" t="b">
        <f>OR(DM_Control_Error_Param__3[[#This Row],[aperture shift (% actuator pitch)]]&gt;10,DM_Control_Error_Param__3[[#This Row],[log-amplitude variance ]]&gt;0.1)</f>
        <v>0</v>
      </c>
    </row>
    <row r="208" spans="1:7" x14ac:dyDescent="0.25">
      <c r="A208" s="1" t="s">
        <v>20</v>
      </c>
      <c r="B208">
        <v>3</v>
      </c>
      <c r="C208">
        <v>70</v>
      </c>
      <c r="D208" s="1" t="s">
        <v>7</v>
      </c>
      <c r="E208">
        <v>0</v>
      </c>
      <c r="F208">
        <v>0</v>
      </c>
      <c r="G208" t="b">
        <f>OR(DM_Control_Error_Param__3[[#This Row],[aperture shift (% actuator pitch)]]&gt;10,DM_Control_Error_Param__3[[#This Row],[log-amplitude variance ]]&gt;0.1)</f>
        <v>0</v>
      </c>
    </row>
    <row r="209" spans="1:7" x14ac:dyDescent="0.25">
      <c r="A209" s="1" t="s">
        <v>20</v>
      </c>
      <c r="B209">
        <v>3</v>
      </c>
      <c r="C209">
        <v>80</v>
      </c>
      <c r="D209" s="1" t="s">
        <v>7</v>
      </c>
      <c r="E209">
        <v>0</v>
      </c>
      <c r="F209">
        <v>0</v>
      </c>
      <c r="G209" t="b">
        <f>OR(DM_Control_Error_Param__3[[#This Row],[aperture shift (% actuator pitch)]]&gt;10,DM_Control_Error_Param__3[[#This Row],[log-amplitude variance ]]&gt;0.1)</f>
        <v>0</v>
      </c>
    </row>
    <row r="210" spans="1:7" x14ac:dyDescent="0.25">
      <c r="A210" s="1" t="s">
        <v>20</v>
      </c>
      <c r="B210">
        <v>2</v>
      </c>
      <c r="C210">
        <v>0</v>
      </c>
      <c r="D210" s="1" t="s">
        <v>7</v>
      </c>
      <c r="E210">
        <v>0</v>
      </c>
      <c r="F210">
        <v>0</v>
      </c>
      <c r="G210" t="b">
        <f>OR(DM_Control_Error_Param__3[[#This Row],[aperture shift (% actuator pitch)]]&gt;10,DM_Control_Error_Param__3[[#This Row],[log-amplitude variance ]]&gt;0.1)</f>
        <v>0</v>
      </c>
    </row>
    <row r="211" spans="1:7" x14ac:dyDescent="0.25">
      <c r="A211" s="1" t="s">
        <v>20</v>
      </c>
      <c r="B211">
        <v>2</v>
      </c>
      <c r="C211">
        <v>30</v>
      </c>
      <c r="D211" s="1" t="s">
        <v>7</v>
      </c>
      <c r="E211">
        <v>0</v>
      </c>
      <c r="F211">
        <v>0</v>
      </c>
      <c r="G211" t="b">
        <f>OR(DM_Control_Error_Param__3[[#This Row],[aperture shift (% actuator pitch)]]&gt;10,DM_Control_Error_Param__3[[#This Row],[log-amplitude variance ]]&gt;0.1)</f>
        <v>0</v>
      </c>
    </row>
    <row r="212" spans="1:7" x14ac:dyDescent="0.25">
      <c r="A212" s="1" t="s">
        <v>20</v>
      </c>
      <c r="B212">
        <v>2</v>
      </c>
      <c r="C212">
        <v>45</v>
      </c>
      <c r="D212" s="1" t="s">
        <v>7</v>
      </c>
      <c r="E212">
        <v>0</v>
      </c>
      <c r="F212">
        <v>0</v>
      </c>
      <c r="G212" t="b">
        <f>OR(DM_Control_Error_Param__3[[#This Row],[aperture shift (% actuator pitch)]]&gt;10,DM_Control_Error_Param__3[[#This Row],[log-amplitude variance ]]&gt;0.1)</f>
        <v>0</v>
      </c>
    </row>
    <row r="213" spans="1:7" x14ac:dyDescent="0.25">
      <c r="A213" s="1" t="s">
        <v>20</v>
      </c>
      <c r="B213">
        <v>2</v>
      </c>
      <c r="C213">
        <v>60</v>
      </c>
      <c r="D213" s="1" t="s">
        <v>7</v>
      </c>
      <c r="E213">
        <v>0</v>
      </c>
      <c r="F213">
        <v>0</v>
      </c>
      <c r="G213" t="b">
        <f>OR(DM_Control_Error_Param__3[[#This Row],[aperture shift (% actuator pitch)]]&gt;10,DM_Control_Error_Param__3[[#This Row],[log-amplitude variance ]]&gt;0.1)</f>
        <v>0</v>
      </c>
    </row>
    <row r="214" spans="1:7" x14ac:dyDescent="0.25">
      <c r="A214" s="1" t="s">
        <v>20</v>
      </c>
      <c r="B214">
        <v>2</v>
      </c>
      <c r="C214">
        <v>70</v>
      </c>
      <c r="D214" s="1" t="s">
        <v>7</v>
      </c>
      <c r="E214">
        <v>0</v>
      </c>
      <c r="F214">
        <v>0</v>
      </c>
      <c r="G214" t="b">
        <f>OR(DM_Control_Error_Param__3[[#This Row],[aperture shift (% actuator pitch)]]&gt;10,DM_Control_Error_Param__3[[#This Row],[log-amplitude variance ]]&gt;0.1)</f>
        <v>0</v>
      </c>
    </row>
    <row r="215" spans="1:7" x14ac:dyDescent="0.25">
      <c r="A215" s="1" t="s">
        <v>20</v>
      </c>
      <c r="B215">
        <v>2</v>
      </c>
      <c r="C215">
        <v>80</v>
      </c>
      <c r="D215" s="1" t="s">
        <v>7</v>
      </c>
      <c r="E215">
        <v>0</v>
      </c>
      <c r="F215">
        <v>0</v>
      </c>
      <c r="G215" t="b">
        <f>OR(DM_Control_Error_Param__3[[#This Row],[aperture shift (% actuator pitch)]]&gt;10,DM_Control_Error_Param__3[[#This Row],[log-amplitude variance ]]&gt;0.1)</f>
        <v>0</v>
      </c>
    </row>
    <row r="216" spans="1:7" x14ac:dyDescent="0.25">
      <c r="A216" s="1" t="s">
        <v>26</v>
      </c>
      <c r="B216">
        <v>14</v>
      </c>
      <c r="C216">
        <v>0</v>
      </c>
      <c r="D216" s="1" t="s">
        <v>7</v>
      </c>
      <c r="E216">
        <v>0</v>
      </c>
      <c r="F216">
        <v>0</v>
      </c>
      <c r="G216" t="b">
        <f>OR(DM_Control_Error_Param__3[[#This Row],[aperture shift (% actuator pitch)]]&gt;10,DM_Control_Error_Param__3[[#This Row],[log-amplitude variance ]]&gt;0.1)</f>
        <v>0</v>
      </c>
    </row>
    <row r="217" spans="1:7" x14ac:dyDescent="0.25">
      <c r="A217" s="1" t="s">
        <v>26</v>
      </c>
      <c r="B217">
        <v>14</v>
      </c>
      <c r="C217">
        <v>30</v>
      </c>
      <c r="D217" s="1" t="s">
        <v>7</v>
      </c>
      <c r="E217">
        <v>0</v>
      </c>
      <c r="F217">
        <v>0</v>
      </c>
      <c r="G217" t="b">
        <f>OR(DM_Control_Error_Param__3[[#This Row],[aperture shift (% actuator pitch)]]&gt;10,DM_Control_Error_Param__3[[#This Row],[log-amplitude variance ]]&gt;0.1)</f>
        <v>0</v>
      </c>
    </row>
    <row r="218" spans="1:7" x14ac:dyDescent="0.25">
      <c r="A218" s="1" t="s">
        <v>26</v>
      </c>
      <c r="B218">
        <v>14</v>
      </c>
      <c r="C218">
        <v>45</v>
      </c>
      <c r="D218" s="1" t="s">
        <v>7</v>
      </c>
      <c r="E218">
        <v>0</v>
      </c>
      <c r="F218">
        <v>0</v>
      </c>
      <c r="G218" t="b">
        <f>OR(DM_Control_Error_Param__3[[#This Row],[aperture shift (% actuator pitch)]]&gt;10,DM_Control_Error_Param__3[[#This Row],[log-amplitude variance ]]&gt;0.1)</f>
        <v>0</v>
      </c>
    </row>
    <row r="219" spans="1:7" x14ac:dyDescent="0.25">
      <c r="A219" s="1" t="s">
        <v>26</v>
      </c>
      <c r="B219">
        <v>14</v>
      </c>
      <c r="C219">
        <v>60</v>
      </c>
      <c r="D219" s="1" t="s">
        <v>7</v>
      </c>
      <c r="E219">
        <v>0</v>
      </c>
      <c r="F219">
        <v>0</v>
      </c>
      <c r="G219" t="b">
        <f>OR(DM_Control_Error_Param__3[[#This Row],[aperture shift (% actuator pitch)]]&gt;10,DM_Control_Error_Param__3[[#This Row],[log-amplitude variance ]]&gt;0.1)</f>
        <v>0</v>
      </c>
    </row>
    <row r="220" spans="1:7" x14ac:dyDescent="0.25">
      <c r="A220" s="1" t="s">
        <v>26</v>
      </c>
      <c r="B220">
        <v>14</v>
      </c>
      <c r="C220">
        <v>70</v>
      </c>
      <c r="D220" s="1" t="s">
        <v>7</v>
      </c>
      <c r="E220">
        <v>0</v>
      </c>
      <c r="F220">
        <v>0</v>
      </c>
      <c r="G220" t="b">
        <f>OR(DM_Control_Error_Param__3[[#This Row],[aperture shift (% actuator pitch)]]&gt;10,DM_Control_Error_Param__3[[#This Row],[log-amplitude variance ]]&gt;0.1)</f>
        <v>0</v>
      </c>
    </row>
    <row r="221" spans="1:7" x14ac:dyDescent="0.25">
      <c r="A221" s="1" t="s">
        <v>26</v>
      </c>
      <c r="B221">
        <v>14</v>
      </c>
      <c r="C221">
        <v>80</v>
      </c>
      <c r="D221" s="1" t="s">
        <v>7</v>
      </c>
      <c r="E221">
        <v>0</v>
      </c>
      <c r="F221">
        <v>0</v>
      </c>
      <c r="G221" t="b">
        <f>OR(DM_Control_Error_Param__3[[#This Row],[aperture shift (% actuator pitch)]]&gt;10,DM_Control_Error_Param__3[[#This Row],[log-amplitude variance ]]&gt;0.1)</f>
        <v>0</v>
      </c>
    </row>
    <row r="222" spans="1:7" x14ac:dyDescent="0.25">
      <c r="A222" s="1" t="s">
        <v>26</v>
      </c>
      <c r="B222">
        <v>11</v>
      </c>
      <c r="C222">
        <v>0</v>
      </c>
      <c r="D222" s="1" t="s">
        <v>7</v>
      </c>
      <c r="E222">
        <v>0</v>
      </c>
      <c r="F222">
        <v>0</v>
      </c>
      <c r="G222" t="b">
        <f>OR(DM_Control_Error_Param__3[[#This Row],[aperture shift (% actuator pitch)]]&gt;10,DM_Control_Error_Param__3[[#This Row],[log-amplitude variance ]]&gt;0.1)</f>
        <v>0</v>
      </c>
    </row>
    <row r="223" spans="1:7" x14ac:dyDescent="0.25">
      <c r="A223" s="1" t="s">
        <v>26</v>
      </c>
      <c r="B223">
        <v>11</v>
      </c>
      <c r="C223">
        <v>30</v>
      </c>
      <c r="D223" s="1" t="s">
        <v>7</v>
      </c>
      <c r="E223">
        <v>0</v>
      </c>
      <c r="F223">
        <v>0</v>
      </c>
      <c r="G223" t="b">
        <f>OR(DM_Control_Error_Param__3[[#This Row],[aperture shift (% actuator pitch)]]&gt;10,DM_Control_Error_Param__3[[#This Row],[log-amplitude variance ]]&gt;0.1)</f>
        <v>0</v>
      </c>
    </row>
    <row r="224" spans="1:7" x14ac:dyDescent="0.25">
      <c r="A224" s="1" t="s">
        <v>26</v>
      </c>
      <c r="B224">
        <v>11</v>
      </c>
      <c r="C224">
        <v>45</v>
      </c>
      <c r="D224" s="1" t="s">
        <v>7</v>
      </c>
      <c r="E224">
        <v>0</v>
      </c>
      <c r="F224">
        <v>0</v>
      </c>
      <c r="G224" t="b">
        <f>OR(DM_Control_Error_Param__3[[#This Row],[aperture shift (% actuator pitch)]]&gt;10,DM_Control_Error_Param__3[[#This Row],[log-amplitude variance ]]&gt;0.1)</f>
        <v>0</v>
      </c>
    </row>
    <row r="225" spans="1:7" x14ac:dyDescent="0.25">
      <c r="A225" s="1" t="s">
        <v>26</v>
      </c>
      <c r="B225">
        <v>11</v>
      </c>
      <c r="C225">
        <v>60</v>
      </c>
      <c r="D225" s="1" t="s">
        <v>7</v>
      </c>
      <c r="E225">
        <v>0</v>
      </c>
      <c r="F225">
        <v>0</v>
      </c>
      <c r="G225" t="b">
        <f>OR(DM_Control_Error_Param__3[[#This Row],[aperture shift (% actuator pitch)]]&gt;10,DM_Control_Error_Param__3[[#This Row],[log-amplitude variance ]]&gt;0.1)</f>
        <v>0</v>
      </c>
    </row>
    <row r="226" spans="1:7" x14ac:dyDescent="0.25">
      <c r="A226" s="1" t="s">
        <v>26</v>
      </c>
      <c r="B226">
        <v>11</v>
      </c>
      <c r="C226">
        <v>70</v>
      </c>
      <c r="D226" s="1" t="s">
        <v>7</v>
      </c>
      <c r="E226">
        <v>0</v>
      </c>
      <c r="F226">
        <v>0</v>
      </c>
      <c r="G226" t="b">
        <f>OR(DM_Control_Error_Param__3[[#This Row],[aperture shift (% actuator pitch)]]&gt;10,DM_Control_Error_Param__3[[#This Row],[log-amplitude variance ]]&gt;0.1)</f>
        <v>0</v>
      </c>
    </row>
    <row r="227" spans="1:7" x14ac:dyDescent="0.25">
      <c r="A227" s="1" t="s">
        <v>26</v>
      </c>
      <c r="B227">
        <v>11</v>
      </c>
      <c r="C227">
        <v>80</v>
      </c>
      <c r="D227" s="1" t="s">
        <v>7</v>
      </c>
      <c r="E227">
        <v>0</v>
      </c>
      <c r="F227">
        <v>0</v>
      </c>
      <c r="G227" t="b">
        <f>OR(DM_Control_Error_Param__3[[#This Row],[aperture shift (% actuator pitch)]]&gt;10,DM_Control_Error_Param__3[[#This Row],[log-amplitude variance ]]&gt;0.1)</f>
        <v>0</v>
      </c>
    </row>
    <row r="228" spans="1:7" x14ac:dyDescent="0.25">
      <c r="A228" s="1" t="s">
        <v>26</v>
      </c>
      <c r="B228">
        <v>8</v>
      </c>
      <c r="C228">
        <v>0</v>
      </c>
      <c r="D228" s="1" t="s">
        <v>7</v>
      </c>
      <c r="E228">
        <v>0</v>
      </c>
      <c r="F228">
        <v>0</v>
      </c>
      <c r="G228" t="b">
        <f>OR(DM_Control_Error_Param__3[[#This Row],[aperture shift (% actuator pitch)]]&gt;10,DM_Control_Error_Param__3[[#This Row],[log-amplitude variance ]]&gt;0.1)</f>
        <v>0</v>
      </c>
    </row>
    <row r="229" spans="1:7" x14ac:dyDescent="0.25">
      <c r="A229" s="1" t="s">
        <v>26</v>
      </c>
      <c r="B229">
        <v>8</v>
      </c>
      <c r="C229">
        <v>30</v>
      </c>
      <c r="D229" s="1" t="s">
        <v>7</v>
      </c>
      <c r="E229">
        <v>0</v>
      </c>
      <c r="F229">
        <v>0</v>
      </c>
      <c r="G229" t="b">
        <f>OR(DM_Control_Error_Param__3[[#This Row],[aperture shift (% actuator pitch)]]&gt;10,DM_Control_Error_Param__3[[#This Row],[log-amplitude variance ]]&gt;0.1)</f>
        <v>0</v>
      </c>
    </row>
    <row r="230" spans="1:7" x14ac:dyDescent="0.25">
      <c r="A230" s="1" t="s">
        <v>26</v>
      </c>
      <c r="B230">
        <v>8</v>
      </c>
      <c r="C230">
        <v>45</v>
      </c>
      <c r="D230" s="1" t="s">
        <v>7</v>
      </c>
      <c r="E230">
        <v>0</v>
      </c>
      <c r="F230">
        <v>0</v>
      </c>
      <c r="G230" t="b">
        <f>OR(DM_Control_Error_Param__3[[#This Row],[aperture shift (% actuator pitch)]]&gt;10,DM_Control_Error_Param__3[[#This Row],[log-amplitude variance ]]&gt;0.1)</f>
        <v>0</v>
      </c>
    </row>
    <row r="231" spans="1:7" x14ac:dyDescent="0.25">
      <c r="A231" s="1" t="s">
        <v>26</v>
      </c>
      <c r="B231">
        <v>8</v>
      </c>
      <c r="C231">
        <v>60</v>
      </c>
      <c r="D231" s="1" t="s">
        <v>7</v>
      </c>
      <c r="E231">
        <v>0</v>
      </c>
      <c r="F231">
        <v>0</v>
      </c>
      <c r="G231" t="b">
        <f>OR(DM_Control_Error_Param__3[[#This Row],[aperture shift (% actuator pitch)]]&gt;10,DM_Control_Error_Param__3[[#This Row],[log-amplitude variance ]]&gt;0.1)</f>
        <v>0</v>
      </c>
    </row>
    <row r="232" spans="1:7" x14ac:dyDescent="0.25">
      <c r="A232" s="1" t="s">
        <v>26</v>
      </c>
      <c r="B232">
        <v>8</v>
      </c>
      <c r="C232">
        <v>70</v>
      </c>
      <c r="D232" s="1" t="s">
        <v>7</v>
      </c>
      <c r="E232">
        <v>0</v>
      </c>
      <c r="F232">
        <v>0</v>
      </c>
      <c r="G232" t="b">
        <f>OR(DM_Control_Error_Param__3[[#This Row],[aperture shift (% actuator pitch)]]&gt;10,DM_Control_Error_Param__3[[#This Row],[log-amplitude variance ]]&gt;0.1)</f>
        <v>0</v>
      </c>
    </row>
    <row r="233" spans="1:7" x14ac:dyDescent="0.25">
      <c r="A233" s="1" t="s">
        <v>26</v>
      </c>
      <c r="B233">
        <v>8</v>
      </c>
      <c r="C233">
        <v>80</v>
      </c>
      <c r="D233" s="1" t="s">
        <v>7</v>
      </c>
      <c r="E233">
        <v>0</v>
      </c>
      <c r="F233">
        <v>0</v>
      </c>
      <c r="G233" t="b">
        <f>OR(DM_Control_Error_Param__3[[#This Row],[aperture shift (% actuator pitch)]]&gt;10,DM_Control_Error_Param__3[[#This Row],[log-amplitude variance ]]&gt;0.1)</f>
        <v>0</v>
      </c>
    </row>
    <row r="234" spans="1:7" x14ac:dyDescent="0.25">
      <c r="A234" s="1" t="s">
        <v>26</v>
      </c>
      <c r="B234">
        <v>5</v>
      </c>
      <c r="C234">
        <v>0</v>
      </c>
      <c r="D234" s="1" t="s">
        <v>7</v>
      </c>
      <c r="E234">
        <v>0</v>
      </c>
      <c r="F234">
        <v>0</v>
      </c>
      <c r="G234" t="b">
        <f>OR(DM_Control_Error_Param__3[[#This Row],[aperture shift (% actuator pitch)]]&gt;10,DM_Control_Error_Param__3[[#This Row],[log-amplitude variance ]]&gt;0.1)</f>
        <v>0</v>
      </c>
    </row>
    <row r="235" spans="1:7" x14ac:dyDescent="0.25">
      <c r="A235" s="1" t="s">
        <v>26</v>
      </c>
      <c r="B235">
        <v>5</v>
      </c>
      <c r="C235">
        <v>30</v>
      </c>
      <c r="D235" s="1" t="s">
        <v>7</v>
      </c>
      <c r="E235">
        <v>0</v>
      </c>
      <c r="F235">
        <v>0</v>
      </c>
      <c r="G235" t="b">
        <f>OR(DM_Control_Error_Param__3[[#This Row],[aperture shift (% actuator pitch)]]&gt;10,DM_Control_Error_Param__3[[#This Row],[log-amplitude variance ]]&gt;0.1)</f>
        <v>0</v>
      </c>
    </row>
    <row r="236" spans="1:7" x14ac:dyDescent="0.25">
      <c r="A236" s="1" t="s">
        <v>26</v>
      </c>
      <c r="B236">
        <v>5</v>
      </c>
      <c r="C236">
        <v>45</v>
      </c>
      <c r="D236" s="1" t="s">
        <v>7</v>
      </c>
      <c r="E236">
        <v>0</v>
      </c>
      <c r="F236">
        <v>0</v>
      </c>
      <c r="G236" t="b">
        <f>OR(DM_Control_Error_Param__3[[#This Row],[aperture shift (% actuator pitch)]]&gt;10,DM_Control_Error_Param__3[[#This Row],[log-amplitude variance ]]&gt;0.1)</f>
        <v>0</v>
      </c>
    </row>
    <row r="237" spans="1:7" x14ac:dyDescent="0.25">
      <c r="A237" s="1" t="s">
        <v>26</v>
      </c>
      <c r="B237">
        <v>5</v>
      </c>
      <c r="C237">
        <v>60</v>
      </c>
      <c r="D237" s="1" t="s">
        <v>7</v>
      </c>
      <c r="E237">
        <v>0</v>
      </c>
      <c r="F237">
        <v>0</v>
      </c>
      <c r="G237" t="b">
        <f>OR(DM_Control_Error_Param__3[[#This Row],[aperture shift (% actuator pitch)]]&gt;10,DM_Control_Error_Param__3[[#This Row],[log-amplitude variance ]]&gt;0.1)</f>
        <v>0</v>
      </c>
    </row>
    <row r="238" spans="1:7" x14ac:dyDescent="0.25">
      <c r="A238" s="1" t="s">
        <v>26</v>
      </c>
      <c r="B238">
        <v>5</v>
      </c>
      <c r="C238">
        <v>70</v>
      </c>
      <c r="D238" s="1" t="s">
        <v>7</v>
      </c>
      <c r="E238">
        <v>0</v>
      </c>
      <c r="F238">
        <v>0</v>
      </c>
      <c r="G238" t="b">
        <f>OR(DM_Control_Error_Param__3[[#This Row],[aperture shift (% actuator pitch)]]&gt;10,DM_Control_Error_Param__3[[#This Row],[log-amplitude variance ]]&gt;0.1)</f>
        <v>0</v>
      </c>
    </row>
    <row r="239" spans="1:7" x14ac:dyDescent="0.25">
      <c r="A239" s="1" t="s">
        <v>26</v>
      </c>
      <c r="B239">
        <v>5</v>
      </c>
      <c r="C239">
        <v>80</v>
      </c>
      <c r="D239" s="1" t="s">
        <v>7</v>
      </c>
      <c r="E239">
        <v>0</v>
      </c>
      <c r="F239">
        <v>0</v>
      </c>
      <c r="G239" t="b">
        <f>OR(DM_Control_Error_Param__3[[#This Row],[aperture shift (% actuator pitch)]]&gt;10,DM_Control_Error_Param__3[[#This Row],[log-amplitude variance ]]&gt;0.1)</f>
        <v>0</v>
      </c>
    </row>
    <row r="240" spans="1:7" x14ac:dyDescent="0.25">
      <c r="A240" s="1" t="s">
        <v>26</v>
      </c>
      <c r="B240">
        <v>3</v>
      </c>
      <c r="C240">
        <v>0</v>
      </c>
      <c r="D240" s="1" t="s">
        <v>7</v>
      </c>
      <c r="E240">
        <v>0</v>
      </c>
      <c r="F240">
        <v>0</v>
      </c>
      <c r="G240" t="b">
        <f>OR(DM_Control_Error_Param__3[[#This Row],[aperture shift (% actuator pitch)]]&gt;10,DM_Control_Error_Param__3[[#This Row],[log-amplitude variance ]]&gt;0.1)</f>
        <v>0</v>
      </c>
    </row>
    <row r="241" spans="1:7" x14ac:dyDescent="0.25">
      <c r="A241" s="1" t="s">
        <v>26</v>
      </c>
      <c r="B241">
        <v>3</v>
      </c>
      <c r="C241">
        <v>30</v>
      </c>
      <c r="D241" s="1" t="s">
        <v>7</v>
      </c>
      <c r="E241">
        <v>0</v>
      </c>
      <c r="F241">
        <v>0</v>
      </c>
      <c r="G241" t="b">
        <f>OR(DM_Control_Error_Param__3[[#This Row],[aperture shift (% actuator pitch)]]&gt;10,DM_Control_Error_Param__3[[#This Row],[log-amplitude variance ]]&gt;0.1)</f>
        <v>0</v>
      </c>
    </row>
    <row r="242" spans="1:7" x14ac:dyDescent="0.25">
      <c r="A242" s="1" t="s">
        <v>26</v>
      </c>
      <c r="B242">
        <v>3</v>
      </c>
      <c r="C242">
        <v>45</v>
      </c>
      <c r="D242" s="1" t="s">
        <v>7</v>
      </c>
      <c r="E242">
        <v>0</v>
      </c>
      <c r="F242">
        <v>0</v>
      </c>
      <c r="G242" t="b">
        <f>OR(DM_Control_Error_Param__3[[#This Row],[aperture shift (% actuator pitch)]]&gt;10,DM_Control_Error_Param__3[[#This Row],[log-amplitude variance ]]&gt;0.1)</f>
        <v>0</v>
      </c>
    </row>
    <row r="243" spans="1:7" x14ac:dyDescent="0.25">
      <c r="A243" s="1" t="s">
        <v>26</v>
      </c>
      <c r="B243">
        <v>3</v>
      </c>
      <c r="C243">
        <v>60</v>
      </c>
      <c r="D243" s="1" t="s">
        <v>7</v>
      </c>
      <c r="E243">
        <v>0</v>
      </c>
      <c r="F243">
        <v>0</v>
      </c>
      <c r="G243" t="b">
        <f>OR(DM_Control_Error_Param__3[[#This Row],[aperture shift (% actuator pitch)]]&gt;10,DM_Control_Error_Param__3[[#This Row],[log-amplitude variance ]]&gt;0.1)</f>
        <v>0</v>
      </c>
    </row>
    <row r="244" spans="1:7" x14ac:dyDescent="0.25">
      <c r="A244" s="1" t="s">
        <v>26</v>
      </c>
      <c r="B244">
        <v>3</v>
      </c>
      <c r="C244">
        <v>70</v>
      </c>
      <c r="D244" s="1" t="s">
        <v>7</v>
      </c>
      <c r="E244">
        <v>0</v>
      </c>
      <c r="F244">
        <v>0</v>
      </c>
      <c r="G244" t="b">
        <f>OR(DM_Control_Error_Param__3[[#This Row],[aperture shift (% actuator pitch)]]&gt;10,DM_Control_Error_Param__3[[#This Row],[log-amplitude variance ]]&gt;0.1)</f>
        <v>0</v>
      </c>
    </row>
    <row r="245" spans="1:7" x14ac:dyDescent="0.25">
      <c r="A245" s="1" t="s">
        <v>26</v>
      </c>
      <c r="B245">
        <v>3</v>
      </c>
      <c r="C245">
        <v>80</v>
      </c>
      <c r="D245" s="1" t="s">
        <v>7</v>
      </c>
      <c r="E245">
        <v>0</v>
      </c>
      <c r="F245">
        <v>0</v>
      </c>
      <c r="G245" t="b">
        <f>OR(DM_Control_Error_Param__3[[#This Row],[aperture shift (% actuator pitch)]]&gt;10,DM_Control_Error_Param__3[[#This Row],[log-amplitude variance ]]&gt;0.1)</f>
        <v>0</v>
      </c>
    </row>
    <row r="246" spans="1:7" x14ac:dyDescent="0.25">
      <c r="A246" s="1" t="s">
        <v>26</v>
      </c>
      <c r="B246">
        <v>2</v>
      </c>
      <c r="C246">
        <v>0</v>
      </c>
      <c r="D246" s="1" t="s">
        <v>7</v>
      </c>
      <c r="E246">
        <v>0</v>
      </c>
      <c r="F246">
        <v>0</v>
      </c>
      <c r="G246" t="b">
        <f>OR(DM_Control_Error_Param__3[[#This Row],[aperture shift (% actuator pitch)]]&gt;10,DM_Control_Error_Param__3[[#This Row],[log-amplitude variance ]]&gt;0.1)</f>
        <v>0</v>
      </c>
    </row>
    <row r="247" spans="1:7" x14ac:dyDescent="0.25">
      <c r="A247" s="1" t="s">
        <v>26</v>
      </c>
      <c r="B247">
        <v>2</v>
      </c>
      <c r="C247">
        <v>30</v>
      </c>
      <c r="D247" s="1" t="s">
        <v>7</v>
      </c>
      <c r="E247">
        <v>0</v>
      </c>
      <c r="F247">
        <v>0</v>
      </c>
      <c r="G247" t="b">
        <f>OR(DM_Control_Error_Param__3[[#This Row],[aperture shift (% actuator pitch)]]&gt;10,DM_Control_Error_Param__3[[#This Row],[log-amplitude variance ]]&gt;0.1)</f>
        <v>0</v>
      </c>
    </row>
    <row r="248" spans="1:7" x14ac:dyDescent="0.25">
      <c r="A248" s="1" t="s">
        <v>26</v>
      </c>
      <c r="B248">
        <v>2</v>
      </c>
      <c r="C248">
        <v>45</v>
      </c>
      <c r="D248" s="1" t="s">
        <v>7</v>
      </c>
      <c r="E248">
        <v>0</v>
      </c>
      <c r="F248">
        <v>0</v>
      </c>
      <c r="G248" t="b">
        <f>OR(DM_Control_Error_Param__3[[#This Row],[aperture shift (% actuator pitch)]]&gt;10,DM_Control_Error_Param__3[[#This Row],[log-amplitude variance ]]&gt;0.1)</f>
        <v>0</v>
      </c>
    </row>
    <row r="249" spans="1:7" x14ac:dyDescent="0.25">
      <c r="A249" s="1" t="s">
        <v>26</v>
      </c>
      <c r="B249">
        <v>2</v>
      </c>
      <c r="C249">
        <v>60</v>
      </c>
      <c r="D249" s="1" t="s">
        <v>7</v>
      </c>
      <c r="E249">
        <v>0</v>
      </c>
      <c r="F249">
        <v>0</v>
      </c>
      <c r="G249" t="b">
        <f>OR(DM_Control_Error_Param__3[[#This Row],[aperture shift (% actuator pitch)]]&gt;10,DM_Control_Error_Param__3[[#This Row],[log-amplitude variance ]]&gt;0.1)</f>
        <v>0</v>
      </c>
    </row>
    <row r="250" spans="1:7" x14ac:dyDescent="0.25">
      <c r="A250" s="1" t="s">
        <v>26</v>
      </c>
      <c r="B250">
        <v>2</v>
      </c>
      <c r="C250">
        <v>70</v>
      </c>
      <c r="D250" s="1" t="s">
        <v>7</v>
      </c>
      <c r="E250">
        <v>0</v>
      </c>
      <c r="F250">
        <v>0</v>
      </c>
      <c r="G250" t="b">
        <f>OR(DM_Control_Error_Param__3[[#This Row],[aperture shift (% actuator pitch)]]&gt;10,DM_Control_Error_Param__3[[#This Row],[log-amplitude variance ]]&gt;0.1)</f>
        <v>0</v>
      </c>
    </row>
    <row r="251" spans="1:7" x14ac:dyDescent="0.25">
      <c r="A251" s="1" t="s">
        <v>26</v>
      </c>
      <c r="B251">
        <v>2</v>
      </c>
      <c r="C251">
        <v>80</v>
      </c>
      <c r="D251" s="1" t="s">
        <v>7</v>
      </c>
      <c r="E251">
        <v>0</v>
      </c>
      <c r="F251">
        <v>0</v>
      </c>
      <c r="G251" t="b">
        <f>OR(DM_Control_Error_Param__3[[#This Row],[aperture shift (% actuator pitch)]]&gt;10,DM_Control_Error_Param__3[[#This Row],[log-amplitude variance ]]&gt;0.1)</f>
        <v>0</v>
      </c>
    </row>
    <row r="252" spans="1:7" x14ac:dyDescent="0.25">
      <c r="A252" s="1" t="s">
        <v>22</v>
      </c>
      <c r="B252">
        <v>14</v>
      </c>
      <c r="C252">
        <v>0</v>
      </c>
      <c r="D252" s="1" t="s">
        <v>25</v>
      </c>
      <c r="E252">
        <v>0.4</v>
      </c>
      <c r="F252">
        <v>4.0000000000000001E-3</v>
      </c>
      <c r="G252" t="b">
        <f>OR(DM_Control_Error_Param__3[[#This Row],[aperture shift (% actuator pitch)]]&gt;10,DM_Control_Error_Param__3[[#This Row],[log-amplitude variance ]]&gt;0.1)</f>
        <v>0</v>
      </c>
    </row>
    <row r="253" spans="1:7" x14ac:dyDescent="0.25">
      <c r="A253" s="1" t="s">
        <v>22</v>
      </c>
      <c r="B253">
        <v>14</v>
      </c>
      <c r="C253">
        <v>30</v>
      </c>
      <c r="D253" s="1" t="s">
        <v>25</v>
      </c>
      <c r="E253">
        <v>0.5</v>
      </c>
      <c r="F253">
        <v>8.0000000000000002E-3</v>
      </c>
      <c r="G253" t="b">
        <f>OR(DM_Control_Error_Param__3[[#This Row],[aperture shift (% actuator pitch)]]&gt;10,DM_Control_Error_Param__3[[#This Row],[log-amplitude variance ]]&gt;0.1)</f>
        <v>0</v>
      </c>
    </row>
    <row r="254" spans="1:7" x14ac:dyDescent="0.25">
      <c r="A254" s="1" t="s">
        <v>22</v>
      </c>
      <c r="B254">
        <v>14</v>
      </c>
      <c r="C254">
        <v>45</v>
      </c>
      <c r="D254" s="1" t="s">
        <v>25</v>
      </c>
      <c r="E254">
        <v>0.6</v>
      </c>
      <c r="F254">
        <v>0.01</v>
      </c>
      <c r="G254" t="b">
        <f>OR(DM_Control_Error_Param__3[[#This Row],[aperture shift (% actuator pitch)]]&gt;10,DM_Control_Error_Param__3[[#This Row],[log-amplitude variance ]]&gt;0.1)</f>
        <v>0</v>
      </c>
    </row>
    <row r="255" spans="1:7" x14ac:dyDescent="0.25">
      <c r="A255" s="1" t="s">
        <v>22</v>
      </c>
      <c r="B255">
        <v>14</v>
      </c>
      <c r="C255">
        <v>60</v>
      </c>
      <c r="D255" s="1" t="s">
        <v>25</v>
      </c>
      <c r="E255">
        <v>0.6</v>
      </c>
      <c r="F255">
        <v>8.9999999999999993E-3</v>
      </c>
      <c r="G255" t="b">
        <f>OR(DM_Control_Error_Param__3[[#This Row],[aperture shift (% actuator pitch)]]&gt;10,DM_Control_Error_Param__3[[#This Row],[log-amplitude variance ]]&gt;0.1)</f>
        <v>0</v>
      </c>
    </row>
    <row r="256" spans="1:7" x14ac:dyDescent="0.25">
      <c r="A256" s="1" t="s">
        <v>22</v>
      </c>
      <c r="B256">
        <v>14</v>
      </c>
      <c r="C256">
        <v>70</v>
      </c>
      <c r="D256" s="1" t="s">
        <v>25</v>
      </c>
      <c r="E256">
        <v>0.6</v>
      </c>
      <c r="F256">
        <v>1.0999999999999999E-2</v>
      </c>
      <c r="G256" t="b">
        <f>OR(DM_Control_Error_Param__3[[#This Row],[aperture shift (% actuator pitch)]]&gt;10,DM_Control_Error_Param__3[[#This Row],[log-amplitude variance ]]&gt;0.1)</f>
        <v>0</v>
      </c>
    </row>
    <row r="257" spans="1:7" x14ac:dyDescent="0.25">
      <c r="A257" s="1" t="s">
        <v>22</v>
      </c>
      <c r="B257">
        <v>14</v>
      </c>
      <c r="C257">
        <v>80</v>
      </c>
      <c r="D257" s="1" t="s">
        <v>25</v>
      </c>
      <c r="E257">
        <v>0.8</v>
      </c>
      <c r="F257">
        <v>2.1999999999999999E-2</v>
      </c>
      <c r="G257" t="b">
        <f>OR(DM_Control_Error_Param__3[[#This Row],[aperture shift (% actuator pitch)]]&gt;10,DM_Control_Error_Param__3[[#This Row],[log-amplitude variance ]]&gt;0.1)</f>
        <v>0</v>
      </c>
    </row>
    <row r="258" spans="1:7" x14ac:dyDescent="0.25">
      <c r="A258" s="1" t="s">
        <v>22</v>
      </c>
      <c r="B258">
        <v>11</v>
      </c>
      <c r="C258">
        <v>0</v>
      </c>
      <c r="D258" s="1" t="s">
        <v>25</v>
      </c>
      <c r="E258">
        <v>0.5</v>
      </c>
      <c r="F258">
        <v>6.0000000000000001E-3</v>
      </c>
      <c r="G258" t="b">
        <f>OR(DM_Control_Error_Param__3[[#This Row],[aperture shift (% actuator pitch)]]&gt;10,DM_Control_Error_Param__3[[#This Row],[log-amplitude variance ]]&gt;0.1)</f>
        <v>0</v>
      </c>
    </row>
    <row r="259" spans="1:7" x14ac:dyDescent="0.25">
      <c r="A259" s="1" t="s">
        <v>22</v>
      </c>
      <c r="B259">
        <v>11</v>
      </c>
      <c r="C259">
        <v>30</v>
      </c>
      <c r="D259" s="1" t="s">
        <v>25</v>
      </c>
      <c r="E259">
        <v>0.6</v>
      </c>
      <c r="F259">
        <v>1.0999999999999999E-2</v>
      </c>
      <c r="G259" t="b">
        <f>OR(DM_Control_Error_Param__3[[#This Row],[aperture shift (% actuator pitch)]]&gt;10,DM_Control_Error_Param__3[[#This Row],[log-amplitude variance ]]&gt;0.1)</f>
        <v>0</v>
      </c>
    </row>
    <row r="260" spans="1:7" x14ac:dyDescent="0.25">
      <c r="A260" s="1" t="s">
        <v>22</v>
      </c>
      <c r="B260">
        <v>11</v>
      </c>
      <c r="C260">
        <v>45</v>
      </c>
      <c r="D260" s="1" t="s">
        <v>25</v>
      </c>
      <c r="E260">
        <v>0.7</v>
      </c>
      <c r="F260">
        <v>1.4E-2</v>
      </c>
      <c r="G260" t="b">
        <f>OR(DM_Control_Error_Param__3[[#This Row],[aperture shift (% actuator pitch)]]&gt;10,DM_Control_Error_Param__3[[#This Row],[log-amplitude variance ]]&gt;0.1)</f>
        <v>0</v>
      </c>
    </row>
    <row r="261" spans="1:7" x14ac:dyDescent="0.25">
      <c r="A261" s="1" t="s">
        <v>22</v>
      </c>
      <c r="B261">
        <v>11</v>
      </c>
      <c r="C261">
        <v>60</v>
      </c>
      <c r="D261" s="1" t="s">
        <v>25</v>
      </c>
      <c r="E261">
        <v>0.7</v>
      </c>
      <c r="F261">
        <v>1.2999999999999999E-2</v>
      </c>
      <c r="G261" t="b">
        <f>OR(DM_Control_Error_Param__3[[#This Row],[aperture shift (% actuator pitch)]]&gt;10,DM_Control_Error_Param__3[[#This Row],[log-amplitude variance ]]&gt;0.1)</f>
        <v>0</v>
      </c>
    </row>
    <row r="262" spans="1:7" x14ac:dyDescent="0.25">
      <c r="A262" s="1" t="s">
        <v>22</v>
      </c>
      <c r="B262">
        <v>11</v>
      </c>
      <c r="C262">
        <v>70</v>
      </c>
      <c r="D262" s="1" t="s">
        <v>25</v>
      </c>
      <c r="E262">
        <v>0.7</v>
      </c>
      <c r="F262">
        <v>1.7000000000000001E-2</v>
      </c>
      <c r="G262" t="b">
        <f>OR(DM_Control_Error_Param__3[[#This Row],[aperture shift (% actuator pitch)]]&gt;10,DM_Control_Error_Param__3[[#This Row],[log-amplitude variance ]]&gt;0.1)</f>
        <v>0</v>
      </c>
    </row>
    <row r="263" spans="1:7" x14ac:dyDescent="0.25">
      <c r="A263" s="1" t="s">
        <v>22</v>
      </c>
      <c r="B263">
        <v>11</v>
      </c>
      <c r="C263">
        <v>80</v>
      </c>
      <c r="D263" s="1" t="s">
        <v>25</v>
      </c>
      <c r="E263">
        <v>1</v>
      </c>
      <c r="F263">
        <v>3.3000000000000002E-2</v>
      </c>
      <c r="G263" t="b">
        <f>OR(DM_Control_Error_Param__3[[#This Row],[aperture shift (% actuator pitch)]]&gt;10,DM_Control_Error_Param__3[[#This Row],[log-amplitude variance ]]&gt;0.1)</f>
        <v>0</v>
      </c>
    </row>
    <row r="264" spans="1:7" x14ac:dyDescent="0.25">
      <c r="A264" s="1" t="s">
        <v>22</v>
      </c>
      <c r="B264">
        <v>8</v>
      </c>
      <c r="C264">
        <v>0</v>
      </c>
      <c r="D264" s="1" t="s">
        <v>25</v>
      </c>
      <c r="E264">
        <v>0.6</v>
      </c>
      <c r="F264">
        <v>1.0999999999999999E-2</v>
      </c>
      <c r="G264" t="b">
        <f>OR(DM_Control_Error_Param__3[[#This Row],[aperture shift (% actuator pitch)]]&gt;10,DM_Control_Error_Param__3[[#This Row],[log-amplitude variance ]]&gt;0.1)</f>
        <v>0</v>
      </c>
    </row>
    <row r="265" spans="1:7" x14ac:dyDescent="0.25">
      <c r="A265" s="1" t="s">
        <v>22</v>
      </c>
      <c r="B265">
        <v>8</v>
      </c>
      <c r="C265">
        <v>30</v>
      </c>
      <c r="D265" s="1" t="s">
        <v>25</v>
      </c>
      <c r="E265">
        <v>0.8</v>
      </c>
      <c r="F265">
        <v>1.9E-2</v>
      </c>
      <c r="G265" t="b">
        <f>OR(DM_Control_Error_Param__3[[#This Row],[aperture shift (% actuator pitch)]]&gt;10,DM_Control_Error_Param__3[[#This Row],[log-amplitude variance ]]&gt;0.1)</f>
        <v>0</v>
      </c>
    </row>
    <row r="266" spans="1:7" x14ac:dyDescent="0.25">
      <c r="A266" s="1" t="s">
        <v>22</v>
      </c>
      <c r="B266">
        <v>8</v>
      </c>
      <c r="C266">
        <v>45</v>
      </c>
      <c r="D266" s="1" t="s">
        <v>25</v>
      </c>
      <c r="E266">
        <v>0.9</v>
      </c>
      <c r="F266">
        <v>2.4E-2</v>
      </c>
      <c r="G266" t="b">
        <f>OR(DM_Control_Error_Param__3[[#This Row],[aperture shift (% actuator pitch)]]&gt;10,DM_Control_Error_Param__3[[#This Row],[log-amplitude variance ]]&gt;0.1)</f>
        <v>0</v>
      </c>
    </row>
    <row r="267" spans="1:7" x14ac:dyDescent="0.25">
      <c r="A267" s="1" t="s">
        <v>22</v>
      </c>
      <c r="B267">
        <v>8</v>
      </c>
      <c r="C267">
        <v>60</v>
      </c>
      <c r="D267" s="1" t="s">
        <v>25</v>
      </c>
      <c r="E267">
        <v>0.9</v>
      </c>
      <c r="F267">
        <v>2.3E-2</v>
      </c>
      <c r="G267" t="b">
        <f>OR(DM_Control_Error_Param__3[[#This Row],[aperture shift (% actuator pitch)]]&gt;10,DM_Control_Error_Param__3[[#This Row],[log-amplitude variance ]]&gt;0.1)</f>
        <v>0</v>
      </c>
    </row>
    <row r="268" spans="1:7" x14ac:dyDescent="0.25">
      <c r="A268" s="1" t="s">
        <v>22</v>
      </c>
      <c r="B268">
        <v>8</v>
      </c>
      <c r="C268">
        <v>70</v>
      </c>
      <c r="D268" s="1" t="s">
        <v>25</v>
      </c>
      <c r="E268">
        <v>1</v>
      </c>
      <c r="F268">
        <v>2.8000000000000001E-2</v>
      </c>
      <c r="G268" t="b">
        <f>OR(DM_Control_Error_Param__3[[#This Row],[aperture shift (% actuator pitch)]]&gt;10,DM_Control_Error_Param__3[[#This Row],[log-amplitude variance ]]&gt;0.1)</f>
        <v>0</v>
      </c>
    </row>
    <row r="269" spans="1:7" x14ac:dyDescent="0.25">
      <c r="A269" s="1" t="s">
        <v>22</v>
      </c>
      <c r="B269">
        <v>8</v>
      </c>
      <c r="C269">
        <v>80</v>
      </c>
      <c r="D269" s="1" t="s">
        <v>25</v>
      </c>
      <c r="E269">
        <v>1.3</v>
      </c>
      <c r="F269">
        <v>5.7000000000000002E-2</v>
      </c>
      <c r="G269" t="b">
        <f>OR(DM_Control_Error_Param__3[[#This Row],[aperture shift (% actuator pitch)]]&gt;10,DM_Control_Error_Param__3[[#This Row],[log-amplitude variance ]]&gt;0.1)</f>
        <v>0</v>
      </c>
    </row>
    <row r="270" spans="1:7" x14ac:dyDescent="0.25">
      <c r="A270" s="1" t="s">
        <v>22</v>
      </c>
      <c r="B270">
        <v>5</v>
      </c>
      <c r="C270">
        <v>0</v>
      </c>
      <c r="D270" s="1" t="s">
        <v>25</v>
      </c>
      <c r="E270">
        <v>0.9</v>
      </c>
      <c r="F270">
        <v>2.3E-2</v>
      </c>
      <c r="G270" t="b">
        <f>OR(DM_Control_Error_Param__3[[#This Row],[aperture shift (% actuator pitch)]]&gt;10,DM_Control_Error_Param__3[[#This Row],[log-amplitude variance ]]&gt;0.1)</f>
        <v>0</v>
      </c>
    </row>
    <row r="271" spans="1:7" x14ac:dyDescent="0.25">
      <c r="A271" s="1" t="s">
        <v>22</v>
      </c>
      <c r="B271">
        <v>5</v>
      </c>
      <c r="C271">
        <v>30</v>
      </c>
      <c r="D271" s="1" t="s">
        <v>25</v>
      </c>
      <c r="E271">
        <v>1.2</v>
      </c>
      <c r="F271">
        <v>4.2000000000000003E-2</v>
      </c>
      <c r="G271" t="b">
        <f>OR(DM_Control_Error_Param__3[[#This Row],[aperture shift (% actuator pitch)]]&gt;10,DM_Control_Error_Param__3[[#This Row],[log-amplitude variance ]]&gt;0.1)</f>
        <v>0</v>
      </c>
    </row>
    <row r="272" spans="1:7" x14ac:dyDescent="0.25">
      <c r="A272" s="1" t="s">
        <v>22</v>
      </c>
      <c r="B272">
        <v>5</v>
      </c>
      <c r="C272">
        <v>45</v>
      </c>
      <c r="D272" s="1" t="s">
        <v>25</v>
      </c>
      <c r="E272">
        <v>1.4</v>
      </c>
      <c r="F272">
        <v>5.2999999999999999E-2</v>
      </c>
      <c r="G272" t="b">
        <f>OR(DM_Control_Error_Param__3[[#This Row],[aperture shift (% actuator pitch)]]&gt;10,DM_Control_Error_Param__3[[#This Row],[log-amplitude variance ]]&gt;0.1)</f>
        <v>0</v>
      </c>
    </row>
    <row r="273" spans="1:7" x14ac:dyDescent="0.25">
      <c r="A273" s="1" t="s">
        <v>22</v>
      </c>
      <c r="B273">
        <v>5</v>
      </c>
      <c r="C273">
        <v>60</v>
      </c>
      <c r="D273" s="1" t="s">
        <v>25</v>
      </c>
      <c r="E273">
        <v>1.3</v>
      </c>
      <c r="F273">
        <v>4.9000000000000002E-2</v>
      </c>
      <c r="G273" t="b">
        <f>OR(DM_Control_Error_Param__3[[#This Row],[aperture shift (% actuator pitch)]]&gt;10,DM_Control_Error_Param__3[[#This Row],[log-amplitude variance ]]&gt;0.1)</f>
        <v>0</v>
      </c>
    </row>
    <row r="274" spans="1:7" x14ac:dyDescent="0.25">
      <c r="A274" s="1" t="s">
        <v>22</v>
      </c>
      <c r="B274">
        <v>5</v>
      </c>
      <c r="C274">
        <v>70</v>
      </c>
      <c r="D274" s="1" t="s">
        <v>25</v>
      </c>
      <c r="E274">
        <v>1.4</v>
      </c>
      <c r="F274">
        <v>6.2E-2</v>
      </c>
      <c r="G274" t="b">
        <f>OR(DM_Control_Error_Param__3[[#This Row],[aperture shift (% actuator pitch)]]&gt;10,DM_Control_Error_Param__3[[#This Row],[log-amplitude variance ]]&gt;0.1)</f>
        <v>0</v>
      </c>
    </row>
    <row r="275" spans="1:7" x14ac:dyDescent="0.25">
      <c r="A275" s="1" t="s">
        <v>22</v>
      </c>
      <c r="B275">
        <v>3</v>
      </c>
      <c r="C275">
        <v>0</v>
      </c>
      <c r="D275" s="1" t="s">
        <v>25</v>
      </c>
      <c r="E275">
        <v>1.3</v>
      </c>
      <c r="F275">
        <v>5.3999999999999999E-2</v>
      </c>
      <c r="G275" t="b">
        <f>OR(DM_Control_Error_Param__3[[#This Row],[aperture shift (% actuator pitch)]]&gt;10,DM_Control_Error_Param__3[[#This Row],[log-amplitude variance ]]&gt;0.1)</f>
        <v>0</v>
      </c>
    </row>
    <row r="276" spans="1:7" x14ac:dyDescent="0.25">
      <c r="A276" s="1" t="s">
        <v>22</v>
      </c>
      <c r="B276">
        <v>3</v>
      </c>
      <c r="C276">
        <v>30</v>
      </c>
      <c r="D276" s="1" t="s">
        <v>25</v>
      </c>
      <c r="E276">
        <v>1.9</v>
      </c>
      <c r="F276">
        <v>9.9000000000000005E-2</v>
      </c>
      <c r="G276" t="b">
        <f>OR(DM_Control_Error_Param__3[[#This Row],[aperture shift (% actuator pitch)]]&gt;10,DM_Control_Error_Param__3[[#This Row],[log-amplitude variance ]]&gt;0.1)</f>
        <v>0</v>
      </c>
    </row>
    <row r="277" spans="1:7" x14ac:dyDescent="0.25">
      <c r="A277" s="1" t="s">
        <v>6</v>
      </c>
      <c r="B277">
        <v>14</v>
      </c>
      <c r="C277">
        <v>0</v>
      </c>
      <c r="D277" s="1" t="s">
        <v>8</v>
      </c>
      <c r="E277">
        <v>0</v>
      </c>
      <c r="F277">
        <v>0</v>
      </c>
      <c r="G277" t="b">
        <f>OR(DM_Control_Error_Param__3[[#This Row],[aperture shift (% actuator pitch)]]&gt;10,DM_Control_Error_Param__3[[#This Row],[log-amplitude variance ]]&gt;0.1)</f>
        <v>0</v>
      </c>
    </row>
    <row r="278" spans="1:7" x14ac:dyDescent="0.25">
      <c r="A278" s="1" t="s">
        <v>6</v>
      </c>
      <c r="B278">
        <v>14</v>
      </c>
      <c r="C278">
        <v>30</v>
      </c>
      <c r="D278" s="1" t="s">
        <v>8</v>
      </c>
      <c r="E278">
        <v>0</v>
      </c>
      <c r="F278">
        <v>0</v>
      </c>
      <c r="G278" t="b">
        <f>OR(DM_Control_Error_Param__3[[#This Row],[aperture shift (% actuator pitch)]]&gt;10,DM_Control_Error_Param__3[[#This Row],[log-amplitude variance ]]&gt;0.1)</f>
        <v>0</v>
      </c>
    </row>
    <row r="279" spans="1:7" x14ac:dyDescent="0.25">
      <c r="A279" s="1" t="s">
        <v>6</v>
      </c>
      <c r="B279">
        <v>14</v>
      </c>
      <c r="C279">
        <v>45</v>
      </c>
      <c r="D279" s="1" t="s">
        <v>8</v>
      </c>
      <c r="E279">
        <v>0</v>
      </c>
      <c r="F279">
        <v>0</v>
      </c>
      <c r="G279" t="b">
        <f>OR(DM_Control_Error_Param__3[[#This Row],[aperture shift (% actuator pitch)]]&gt;10,DM_Control_Error_Param__3[[#This Row],[log-amplitude variance ]]&gt;0.1)</f>
        <v>0</v>
      </c>
    </row>
    <row r="280" spans="1:7" x14ac:dyDescent="0.25">
      <c r="A280" s="1" t="s">
        <v>6</v>
      </c>
      <c r="B280">
        <v>14</v>
      </c>
      <c r="C280">
        <v>60</v>
      </c>
      <c r="D280" s="1" t="s">
        <v>8</v>
      </c>
      <c r="E280">
        <v>0</v>
      </c>
      <c r="F280">
        <v>0</v>
      </c>
      <c r="G280" t="b">
        <f>OR(DM_Control_Error_Param__3[[#This Row],[aperture shift (% actuator pitch)]]&gt;10,DM_Control_Error_Param__3[[#This Row],[log-amplitude variance ]]&gt;0.1)</f>
        <v>0</v>
      </c>
    </row>
    <row r="281" spans="1:7" x14ac:dyDescent="0.25">
      <c r="A281" s="1" t="s">
        <v>6</v>
      </c>
      <c r="B281">
        <v>14</v>
      </c>
      <c r="C281">
        <v>70</v>
      </c>
      <c r="D281" s="1" t="s">
        <v>8</v>
      </c>
      <c r="E281">
        <v>0</v>
      </c>
      <c r="F281">
        <v>0</v>
      </c>
      <c r="G281" t="b">
        <f>OR(DM_Control_Error_Param__3[[#This Row],[aperture shift (% actuator pitch)]]&gt;10,DM_Control_Error_Param__3[[#This Row],[log-amplitude variance ]]&gt;0.1)</f>
        <v>0</v>
      </c>
    </row>
    <row r="282" spans="1:7" x14ac:dyDescent="0.25">
      <c r="A282" s="1" t="s">
        <v>6</v>
      </c>
      <c r="B282">
        <v>14</v>
      </c>
      <c r="C282">
        <v>80</v>
      </c>
      <c r="D282" s="1" t="s">
        <v>8</v>
      </c>
      <c r="E282">
        <v>0</v>
      </c>
      <c r="F282">
        <v>0</v>
      </c>
      <c r="G282" t="b">
        <f>OR(DM_Control_Error_Param__3[[#This Row],[aperture shift (% actuator pitch)]]&gt;10,DM_Control_Error_Param__3[[#This Row],[log-amplitude variance ]]&gt;0.1)</f>
        <v>0</v>
      </c>
    </row>
    <row r="283" spans="1:7" x14ac:dyDescent="0.25">
      <c r="A283" s="1" t="s">
        <v>6</v>
      </c>
      <c r="B283">
        <v>11</v>
      </c>
      <c r="C283">
        <v>0</v>
      </c>
      <c r="D283" s="1" t="s">
        <v>8</v>
      </c>
      <c r="E283">
        <v>0</v>
      </c>
      <c r="F283">
        <v>0</v>
      </c>
      <c r="G283" t="b">
        <f>OR(DM_Control_Error_Param__3[[#This Row],[aperture shift (% actuator pitch)]]&gt;10,DM_Control_Error_Param__3[[#This Row],[log-amplitude variance ]]&gt;0.1)</f>
        <v>0</v>
      </c>
    </row>
    <row r="284" spans="1:7" x14ac:dyDescent="0.25">
      <c r="A284" s="1" t="s">
        <v>6</v>
      </c>
      <c r="B284">
        <v>11</v>
      </c>
      <c r="C284">
        <v>30</v>
      </c>
      <c r="D284" s="1" t="s">
        <v>8</v>
      </c>
      <c r="E284">
        <v>0</v>
      </c>
      <c r="F284">
        <v>0</v>
      </c>
      <c r="G284" t="b">
        <f>OR(DM_Control_Error_Param__3[[#This Row],[aperture shift (% actuator pitch)]]&gt;10,DM_Control_Error_Param__3[[#This Row],[log-amplitude variance ]]&gt;0.1)</f>
        <v>0</v>
      </c>
    </row>
    <row r="285" spans="1:7" x14ac:dyDescent="0.25">
      <c r="A285" s="1" t="s">
        <v>6</v>
      </c>
      <c r="B285">
        <v>11</v>
      </c>
      <c r="C285">
        <v>45</v>
      </c>
      <c r="D285" s="1" t="s">
        <v>8</v>
      </c>
      <c r="E285">
        <v>0</v>
      </c>
      <c r="F285">
        <v>0</v>
      </c>
      <c r="G285" t="b">
        <f>OR(DM_Control_Error_Param__3[[#This Row],[aperture shift (% actuator pitch)]]&gt;10,DM_Control_Error_Param__3[[#This Row],[log-amplitude variance ]]&gt;0.1)</f>
        <v>0</v>
      </c>
    </row>
    <row r="286" spans="1:7" x14ac:dyDescent="0.25">
      <c r="A286" s="1" t="s">
        <v>6</v>
      </c>
      <c r="B286">
        <v>11</v>
      </c>
      <c r="C286">
        <v>60</v>
      </c>
      <c r="D286" s="1" t="s">
        <v>8</v>
      </c>
      <c r="E286">
        <v>0</v>
      </c>
      <c r="F286">
        <v>0</v>
      </c>
      <c r="G286" t="b">
        <f>OR(DM_Control_Error_Param__3[[#This Row],[aperture shift (% actuator pitch)]]&gt;10,DM_Control_Error_Param__3[[#This Row],[log-amplitude variance ]]&gt;0.1)</f>
        <v>0</v>
      </c>
    </row>
    <row r="287" spans="1:7" x14ac:dyDescent="0.25">
      <c r="A287" s="1" t="s">
        <v>6</v>
      </c>
      <c r="B287">
        <v>11</v>
      </c>
      <c r="C287">
        <v>70</v>
      </c>
      <c r="D287" s="1" t="s">
        <v>8</v>
      </c>
      <c r="E287">
        <v>0</v>
      </c>
      <c r="F287">
        <v>0</v>
      </c>
      <c r="G287" t="b">
        <f>OR(DM_Control_Error_Param__3[[#This Row],[aperture shift (% actuator pitch)]]&gt;10,DM_Control_Error_Param__3[[#This Row],[log-amplitude variance ]]&gt;0.1)</f>
        <v>0</v>
      </c>
    </row>
    <row r="288" spans="1:7" x14ac:dyDescent="0.25">
      <c r="A288" s="1" t="s">
        <v>6</v>
      </c>
      <c r="B288">
        <v>11</v>
      </c>
      <c r="C288">
        <v>80</v>
      </c>
      <c r="D288" s="1" t="s">
        <v>8</v>
      </c>
      <c r="E288">
        <v>0</v>
      </c>
      <c r="F288">
        <v>0</v>
      </c>
      <c r="G288" t="b">
        <f>OR(DM_Control_Error_Param__3[[#This Row],[aperture shift (% actuator pitch)]]&gt;10,DM_Control_Error_Param__3[[#This Row],[log-amplitude variance ]]&gt;0.1)</f>
        <v>0</v>
      </c>
    </row>
    <row r="289" spans="1:7" x14ac:dyDescent="0.25">
      <c r="A289" s="1" t="s">
        <v>6</v>
      </c>
      <c r="B289">
        <v>8</v>
      </c>
      <c r="C289">
        <v>0</v>
      </c>
      <c r="D289" s="1" t="s">
        <v>8</v>
      </c>
      <c r="E289">
        <v>0</v>
      </c>
      <c r="F289">
        <v>0</v>
      </c>
      <c r="G289" t="b">
        <f>OR(DM_Control_Error_Param__3[[#This Row],[aperture shift (% actuator pitch)]]&gt;10,DM_Control_Error_Param__3[[#This Row],[log-amplitude variance ]]&gt;0.1)</f>
        <v>0</v>
      </c>
    </row>
    <row r="290" spans="1:7" x14ac:dyDescent="0.25">
      <c r="A290" s="1" t="s">
        <v>6</v>
      </c>
      <c r="B290">
        <v>8</v>
      </c>
      <c r="C290">
        <v>30</v>
      </c>
      <c r="D290" s="1" t="s">
        <v>8</v>
      </c>
      <c r="E290">
        <v>0</v>
      </c>
      <c r="F290">
        <v>0</v>
      </c>
      <c r="G290" t="b">
        <f>OR(DM_Control_Error_Param__3[[#This Row],[aperture shift (% actuator pitch)]]&gt;10,DM_Control_Error_Param__3[[#This Row],[log-amplitude variance ]]&gt;0.1)</f>
        <v>0</v>
      </c>
    </row>
    <row r="291" spans="1:7" x14ac:dyDescent="0.25">
      <c r="A291" s="1" t="s">
        <v>6</v>
      </c>
      <c r="B291">
        <v>8</v>
      </c>
      <c r="C291">
        <v>45</v>
      </c>
      <c r="D291" s="1" t="s">
        <v>8</v>
      </c>
      <c r="E291">
        <v>0</v>
      </c>
      <c r="F291">
        <v>0</v>
      </c>
      <c r="G291" t="b">
        <f>OR(DM_Control_Error_Param__3[[#This Row],[aperture shift (% actuator pitch)]]&gt;10,DM_Control_Error_Param__3[[#This Row],[log-amplitude variance ]]&gt;0.1)</f>
        <v>0</v>
      </c>
    </row>
    <row r="292" spans="1:7" x14ac:dyDescent="0.25">
      <c r="A292" s="1" t="s">
        <v>6</v>
      </c>
      <c r="B292">
        <v>8</v>
      </c>
      <c r="C292">
        <v>60</v>
      </c>
      <c r="D292" s="1" t="s">
        <v>8</v>
      </c>
      <c r="E292">
        <v>0</v>
      </c>
      <c r="F292">
        <v>0</v>
      </c>
      <c r="G292" t="b">
        <f>OR(DM_Control_Error_Param__3[[#This Row],[aperture shift (% actuator pitch)]]&gt;10,DM_Control_Error_Param__3[[#This Row],[log-amplitude variance ]]&gt;0.1)</f>
        <v>0</v>
      </c>
    </row>
    <row r="293" spans="1:7" x14ac:dyDescent="0.25">
      <c r="A293" s="1" t="s">
        <v>6</v>
      </c>
      <c r="B293">
        <v>8</v>
      </c>
      <c r="C293">
        <v>70</v>
      </c>
      <c r="D293" s="1" t="s">
        <v>8</v>
      </c>
      <c r="E293">
        <v>0</v>
      </c>
      <c r="F293">
        <v>0</v>
      </c>
      <c r="G293" t="b">
        <f>OR(DM_Control_Error_Param__3[[#This Row],[aperture shift (% actuator pitch)]]&gt;10,DM_Control_Error_Param__3[[#This Row],[log-amplitude variance ]]&gt;0.1)</f>
        <v>0</v>
      </c>
    </row>
    <row r="294" spans="1:7" x14ac:dyDescent="0.25">
      <c r="A294" s="1" t="s">
        <v>6</v>
      </c>
      <c r="B294">
        <v>8</v>
      </c>
      <c r="C294">
        <v>80</v>
      </c>
      <c r="D294" s="1" t="s">
        <v>8</v>
      </c>
      <c r="E294">
        <v>0</v>
      </c>
      <c r="F294">
        <v>0</v>
      </c>
      <c r="G294" t="b">
        <f>OR(DM_Control_Error_Param__3[[#This Row],[aperture shift (% actuator pitch)]]&gt;10,DM_Control_Error_Param__3[[#This Row],[log-amplitude variance ]]&gt;0.1)</f>
        <v>0</v>
      </c>
    </row>
    <row r="295" spans="1:7" x14ac:dyDescent="0.25">
      <c r="A295" s="1" t="s">
        <v>6</v>
      </c>
      <c r="B295">
        <v>5</v>
      </c>
      <c r="C295">
        <v>0</v>
      </c>
      <c r="D295" s="1" t="s">
        <v>8</v>
      </c>
      <c r="E295">
        <v>0</v>
      </c>
      <c r="F295">
        <v>0</v>
      </c>
      <c r="G295" t="b">
        <f>OR(DM_Control_Error_Param__3[[#This Row],[aperture shift (% actuator pitch)]]&gt;10,DM_Control_Error_Param__3[[#This Row],[log-amplitude variance ]]&gt;0.1)</f>
        <v>0</v>
      </c>
    </row>
    <row r="296" spans="1:7" x14ac:dyDescent="0.25">
      <c r="A296" s="1" t="s">
        <v>6</v>
      </c>
      <c r="B296">
        <v>5</v>
      </c>
      <c r="C296">
        <v>30</v>
      </c>
      <c r="D296" s="1" t="s">
        <v>8</v>
      </c>
      <c r="E296">
        <v>0</v>
      </c>
      <c r="F296">
        <v>0</v>
      </c>
      <c r="G296" t="b">
        <f>OR(DM_Control_Error_Param__3[[#This Row],[aperture shift (% actuator pitch)]]&gt;10,DM_Control_Error_Param__3[[#This Row],[log-amplitude variance ]]&gt;0.1)</f>
        <v>0</v>
      </c>
    </row>
    <row r="297" spans="1:7" x14ac:dyDescent="0.25">
      <c r="A297" s="1" t="s">
        <v>6</v>
      </c>
      <c r="B297">
        <v>5</v>
      </c>
      <c r="C297">
        <v>45</v>
      </c>
      <c r="D297" s="1" t="s">
        <v>8</v>
      </c>
      <c r="E297">
        <v>0</v>
      </c>
      <c r="F297">
        <v>0</v>
      </c>
      <c r="G297" t="b">
        <f>OR(DM_Control_Error_Param__3[[#This Row],[aperture shift (% actuator pitch)]]&gt;10,DM_Control_Error_Param__3[[#This Row],[log-amplitude variance ]]&gt;0.1)</f>
        <v>0</v>
      </c>
    </row>
    <row r="298" spans="1:7" x14ac:dyDescent="0.25">
      <c r="A298" s="1" t="s">
        <v>6</v>
      </c>
      <c r="B298">
        <v>5</v>
      </c>
      <c r="C298">
        <v>60</v>
      </c>
      <c r="D298" s="1" t="s">
        <v>8</v>
      </c>
      <c r="E298">
        <v>0</v>
      </c>
      <c r="F298">
        <v>0</v>
      </c>
      <c r="G298" t="b">
        <f>OR(DM_Control_Error_Param__3[[#This Row],[aperture shift (% actuator pitch)]]&gt;10,DM_Control_Error_Param__3[[#This Row],[log-amplitude variance ]]&gt;0.1)</f>
        <v>0</v>
      </c>
    </row>
    <row r="299" spans="1:7" x14ac:dyDescent="0.25">
      <c r="A299" s="1" t="s">
        <v>6</v>
      </c>
      <c r="B299">
        <v>5</v>
      </c>
      <c r="C299">
        <v>70</v>
      </c>
      <c r="D299" s="1" t="s">
        <v>8</v>
      </c>
      <c r="E299">
        <v>0</v>
      </c>
      <c r="F299">
        <v>0</v>
      </c>
      <c r="G299" t="b">
        <f>OR(DM_Control_Error_Param__3[[#This Row],[aperture shift (% actuator pitch)]]&gt;10,DM_Control_Error_Param__3[[#This Row],[log-amplitude variance ]]&gt;0.1)</f>
        <v>0</v>
      </c>
    </row>
    <row r="300" spans="1:7" x14ac:dyDescent="0.25">
      <c r="A300" s="1" t="s">
        <v>6</v>
      </c>
      <c r="B300">
        <v>5</v>
      </c>
      <c r="C300">
        <v>80</v>
      </c>
      <c r="D300" s="1" t="s">
        <v>8</v>
      </c>
      <c r="E300">
        <v>0</v>
      </c>
      <c r="F300">
        <v>0</v>
      </c>
      <c r="G300" t="b">
        <f>OR(DM_Control_Error_Param__3[[#This Row],[aperture shift (% actuator pitch)]]&gt;10,DM_Control_Error_Param__3[[#This Row],[log-amplitude variance ]]&gt;0.1)</f>
        <v>0</v>
      </c>
    </row>
    <row r="301" spans="1:7" x14ac:dyDescent="0.25">
      <c r="A301" s="1" t="s">
        <v>6</v>
      </c>
      <c r="B301">
        <v>3</v>
      </c>
      <c r="C301">
        <v>0</v>
      </c>
      <c r="D301" s="1" t="s">
        <v>8</v>
      </c>
      <c r="E301">
        <v>0</v>
      </c>
      <c r="F301">
        <v>0</v>
      </c>
      <c r="G301" t="b">
        <f>OR(DM_Control_Error_Param__3[[#This Row],[aperture shift (% actuator pitch)]]&gt;10,DM_Control_Error_Param__3[[#This Row],[log-amplitude variance ]]&gt;0.1)</f>
        <v>0</v>
      </c>
    </row>
    <row r="302" spans="1:7" x14ac:dyDescent="0.25">
      <c r="A302" s="1" t="s">
        <v>6</v>
      </c>
      <c r="B302">
        <v>3</v>
      </c>
      <c r="C302">
        <v>30</v>
      </c>
      <c r="D302" s="1" t="s">
        <v>8</v>
      </c>
      <c r="E302">
        <v>0</v>
      </c>
      <c r="F302">
        <v>0</v>
      </c>
      <c r="G302" t="b">
        <f>OR(DM_Control_Error_Param__3[[#This Row],[aperture shift (% actuator pitch)]]&gt;10,DM_Control_Error_Param__3[[#This Row],[log-amplitude variance ]]&gt;0.1)</f>
        <v>0</v>
      </c>
    </row>
    <row r="303" spans="1:7" x14ac:dyDescent="0.25">
      <c r="A303" s="1" t="s">
        <v>6</v>
      </c>
      <c r="B303">
        <v>3</v>
      </c>
      <c r="C303">
        <v>45</v>
      </c>
      <c r="D303" s="1" t="s">
        <v>8</v>
      </c>
      <c r="E303">
        <v>0</v>
      </c>
      <c r="F303">
        <v>0</v>
      </c>
      <c r="G303" t="b">
        <f>OR(DM_Control_Error_Param__3[[#This Row],[aperture shift (% actuator pitch)]]&gt;10,DM_Control_Error_Param__3[[#This Row],[log-amplitude variance ]]&gt;0.1)</f>
        <v>0</v>
      </c>
    </row>
    <row r="304" spans="1:7" x14ac:dyDescent="0.25">
      <c r="A304" s="1" t="s">
        <v>6</v>
      </c>
      <c r="B304">
        <v>3</v>
      </c>
      <c r="C304">
        <v>60</v>
      </c>
      <c r="D304" s="1" t="s">
        <v>8</v>
      </c>
      <c r="E304">
        <v>0</v>
      </c>
      <c r="F304">
        <v>0</v>
      </c>
      <c r="G304" t="b">
        <f>OR(DM_Control_Error_Param__3[[#This Row],[aperture shift (% actuator pitch)]]&gt;10,DM_Control_Error_Param__3[[#This Row],[log-amplitude variance ]]&gt;0.1)</f>
        <v>0</v>
      </c>
    </row>
    <row r="305" spans="1:7" x14ac:dyDescent="0.25">
      <c r="A305" s="1" t="s">
        <v>6</v>
      </c>
      <c r="B305">
        <v>3</v>
      </c>
      <c r="C305">
        <v>70</v>
      </c>
      <c r="D305" s="1" t="s">
        <v>8</v>
      </c>
      <c r="E305">
        <v>0</v>
      </c>
      <c r="F305">
        <v>0</v>
      </c>
      <c r="G305" t="b">
        <f>OR(DM_Control_Error_Param__3[[#This Row],[aperture shift (% actuator pitch)]]&gt;10,DM_Control_Error_Param__3[[#This Row],[log-amplitude variance ]]&gt;0.1)</f>
        <v>0</v>
      </c>
    </row>
    <row r="306" spans="1:7" x14ac:dyDescent="0.25">
      <c r="A306" s="1" t="s">
        <v>6</v>
      </c>
      <c r="B306">
        <v>3</v>
      </c>
      <c r="C306">
        <v>80</v>
      </c>
      <c r="D306" s="1" t="s">
        <v>8</v>
      </c>
      <c r="E306">
        <v>0</v>
      </c>
      <c r="F306">
        <v>0</v>
      </c>
      <c r="G306" t="b">
        <f>OR(DM_Control_Error_Param__3[[#This Row],[aperture shift (% actuator pitch)]]&gt;10,DM_Control_Error_Param__3[[#This Row],[log-amplitude variance ]]&gt;0.1)</f>
        <v>0</v>
      </c>
    </row>
    <row r="307" spans="1:7" x14ac:dyDescent="0.25">
      <c r="A307" s="1" t="s">
        <v>6</v>
      </c>
      <c r="B307">
        <v>2</v>
      </c>
      <c r="C307">
        <v>0</v>
      </c>
      <c r="D307" s="1" t="s">
        <v>8</v>
      </c>
      <c r="E307">
        <v>0</v>
      </c>
      <c r="F307">
        <v>0</v>
      </c>
      <c r="G307" t="b">
        <f>OR(DM_Control_Error_Param__3[[#This Row],[aperture shift (% actuator pitch)]]&gt;10,DM_Control_Error_Param__3[[#This Row],[log-amplitude variance ]]&gt;0.1)</f>
        <v>0</v>
      </c>
    </row>
    <row r="308" spans="1:7" x14ac:dyDescent="0.25">
      <c r="A308" s="1" t="s">
        <v>6</v>
      </c>
      <c r="B308">
        <v>2</v>
      </c>
      <c r="C308">
        <v>30</v>
      </c>
      <c r="D308" s="1" t="s">
        <v>8</v>
      </c>
      <c r="E308">
        <v>0</v>
      </c>
      <c r="F308">
        <v>0</v>
      </c>
      <c r="G308" t="b">
        <f>OR(DM_Control_Error_Param__3[[#This Row],[aperture shift (% actuator pitch)]]&gt;10,DM_Control_Error_Param__3[[#This Row],[log-amplitude variance ]]&gt;0.1)</f>
        <v>0</v>
      </c>
    </row>
    <row r="309" spans="1:7" x14ac:dyDescent="0.25">
      <c r="A309" s="1" t="s">
        <v>6</v>
      </c>
      <c r="B309">
        <v>2</v>
      </c>
      <c r="C309">
        <v>45</v>
      </c>
      <c r="D309" s="1" t="s">
        <v>8</v>
      </c>
      <c r="E309">
        <v>0</v>
      </c>
      <c r="F309">
        <v>0</v>
      </c>
      <c r="G309" t="b">
        <f>OR(DM_Control_Error_Param__3[[#This Row],[aperture shift (% actuator pitch)]]&gt;10,DM_Control_Error_Param__3[[#This Row],[log-amplitude variance ]]&gt;0.1)</f>
        <v>0</v>
      </c>
    </row>
    <row r="310" spans="1:7" x14ac:dyDescent="0.25">
      <c r="A310" s="1" t="s">
        <v>6</v>
      </c>
      <c r="B310">
        <v>2</v>
      </c>
      <c r="C310">
        <v>60</v>
      </c>
      <c r="D310" s="1" t="s">
        <v>8</v>
      </c>
      <c r="E310">
        <v>0</v>
      </c>
      <c r="F310">
        <v>0</v>
      </c>
      <c r="G310" t="b">
        <f>OR(DM_Control_Error_Param__3[[#This Row],[aperture shift (% actuator pitch)]]&gt;10,DM_Control_Error_Param__3[[#This Row],[log-amplitude variance ]]&gt;0.1)</f>
        <v>0</v>
      </c>
    </row>
    <row r="311" spans="1:7" x14ac:dyDescent="0.25">
      <c r="A311" s="1" t="s">
        <v>6</v>
      </c>
      <c r="B311">
        <v>2</v>
      </c>
      <c r="C311">
        <v>70</v>
      </c>
      <c r="D311" s="1" t="s">
        <v>8</v>
      </c>
      <c r="E311">
        <v>0</v>
      </c>
      <c r="F311">
        <v>0</v>
      </c>
      <c r="G311" t="b">
        <f>OR(DM_Control_Error_Param__3[[#This Row],[aperture shift (% actuator pitch)]]&gt;10,DM_Control_Error_Param__3[[#This Row],[log-amplitude variance ]]&gt;0.1)</f>
        <v>0</v>
      </c>
    </row>
    <row r="312" spans="1:7" x14ac:dyDescent="0.25">
      <c r="A312" s="1" t="s">
        <v>6</v>
      </c>
      <c r="B312">
        <v>2</v>
      </c>
      <c r="C312">
        <v>80</v>
      </c>
      <c r="D312" s="1" t="s">
        <v>8</v>
      </c>
      <c r="E312">
        <v>0</v>
      </c>
      <c r="F312">
        <v>0</v>
      </c>
      <c r="G312" t="b">
        <f>OR(DM_Control_Error_Param__3[[#This Row],[aperture shift (% actuator pitch)]]&gt;10,DM_Control_Error_Param__3[[#This Row],[log-amplitude variance ]]&gt;0.1)</f>
        <v>0</v>
      </c>
    </row>
    <row r="313" spans="1:7" x14ac:dyDescent="0.25">
      <c r="A313" s="1" t="s">
        <v>15</v>
      </c>
      <c r="B313">
        <v>14</v>
      </c>
      <c r="C313">
        <v>0</v>
      </c>
      <c r="D313" s="1" t="s">
        <v>16</v>
      </c>
      <c r="E313">
        <v>0</v>
      </c>
      <c r="F313">
        <v>0</v>
      </c>
      <c r="G313" t="b">
        <f>OR(DM_Control_Error_Param__3[[#This Row],[aperture shift (% actuator pitch)]]&gt;10,DM_Control_Error_Param__3[[#This Row],[log-amplitude variance ]]&gt;0.1)</f>
        <v>0</v>
      </c>
    </row>
    <row r="314" spans="1:7" x14ac:dyDescent="0.25">
      <c r="A314" s="1" t="s">
        <v>15</v>
      </c>
      <c r="B314">
        <v>14</v>
      </c>
      <c r="C314">
        <v>30</v>
      </c>
      <c r="D314" s="1" t="s">
        <v>16</v>
      </c>
      <c r="E314">
        <v>0</v>
      </c>
      <c r="F314">
        <v>0</v>
      </c>
      <c r="G314" t="b">
        <f>OR(DM_Control_Error_Param__3[[#This Row],[aperture shift (% actuator pitch)]]&gt;10,DM_Control_Error_Param__3[[#This Row],[log-amplitude variance ]]&gt;0.1)</f>
        <v>0</v>
      </c>
    </row>
    <row r="315" spans="1:7" x14ac:dyDescent="0.25">
      <c r="A315" s="1" t="s">
        <v>15</v>
      </c>
      <c r="B315">
        <v>14</v>
      </c>
      <c r="C315">
        <v>45</v>
      </c>
      <c r="D315" s="1" t="s">
        <v>16</v>
      </c>
      <c r="E315">
        <v>0</v>
      </c>
      <c r="F315">
        <v>0</v>
      </c>
      <c r="G315" t="b">
        <f>OR(DM_Control_Error_Param__3[[#This Row],[aperture shift (% actuator pitch)]]&gt;10,DM_Control_Error_Param__3[[#This Row],[log-amplitude variance ]]&gt;0.1)</f>
        <v>0</v>
      </c>
    </row>
    <row r="316" spans="1:7" x14ac:dyDescent="0.25">
      <c r="A316" s="1" t="s">
        <v>15</v>
      </c>
      <c r="B316">
        <v>14</v>
      </c>
      <c r="C316">
        <v>60</v>
      </c>
      <c r="D316" s="1" t="s">
        <v>16</v>
      </c>
      <c r="E316">
        <v>0</v>
      </c>
      <c r="F316">
        <v>0</v>
      </c>
      <c r="G316" t="b">
        <f>OR(DM_Control_Error_Param__3[[#This Row],[aperture shift (% actuator pitch)]]&gt;10,DM_Control_Error_Param__3[[#This Row],[log-amplitude variance ]]&gt;0.1)</f>
        <v>0</v>
      </c>
    </row>
    <row r="317" spans="1:7" x14ac:dyDescent="0.25">
      <c r="A317" s="1" t="s">
        <v>15</v>
      </c>
      <c r="B317">
        <v>14</v>
      </c>
      <c r="C317">
        <v>70</v>
      </c>
      <c r="D317" s="1" t="s">
        <v>16</v>
      </c>
      <c r="E317">
        <v>0</v>
      </c>
      <c r="F317">
        <v>0</v>
      </c>
      <c r="G317" t="b">
        <f>OR(DM_Control_Error_Param__3[[#This Row],[aperture shift (% actuator pitch)]]&gt;10,DM_Control_Error_Param__3[[#This Row],[log-amplitude variance ]]&gt;0.1)</f>
        <v>0</v>
      </c>
    </row>
    <row r="318" spans="1:7" x14ac:dyDescent="0.25">
      <c r="A318" s="1" t="s">
        <v>15</v>
      </c>
      <c r="B318">
        <v>14</v>
      </c>
      <c r="C318">
        <v>80</v>
      </c>
      <c r="D318" s="1" t="s">
        <v>16</v>
      </c>
      <c r="E318">
        <v>0</v>
      </c>
      <c r="F318">
        <v>0</v>
      </c>
      <c r="G318" t="b">
        <f>OR(DM_Control_Error_Param__3[[#This Row],[aperture shift (% actuator pitch)]]&gt;10,DM_Control_Error_Param__3[[#This Row],[log-amplitude variance ]]&gt;0.1)</f>
        <v>0</v>
      </c>
    </row>
    <row r="319" spans="1:7" x14ac:dyDescent="0.25">
      <c r="A319" s="1" t="s">
        <v>15</v>
      </c>
      <c r="B319">
        <v>11</v>
      </c>
      <c r="C319">
        <v>0</v>
      </c>
      <c r="D319" s="1" t="s">
        <v>16</v>
      </c>
      <c r="E319">
        <v>0</v>
      </c>
      <c r="F319">
        <v>0</v>
      </c>
      <c r="G319" t="b">
        <f>OR(DM_Control_Error_Param__3[[#This Row],[aperture shift (% actuator pitch)]]&gt;10,DM_Control_Error_Param__3[[#This Row],[log-amplitude variance ]]&gt;0.1)</f>
        <v>0</v>
      </c>
    </row>
    <row r="320" spans="1:7" x14ac:dyDescent="0.25">
      <c r="A320" s="1" t="s">
        <v>15</v>
      </c>
      <c r="B320">
        <v>11</v>
      </c>
      <c r="C320">
        <v>30</v>
      </c>
      <c r="D320" s="1" t="s">
        <v>16</v>
      </c>
      <c r="E320">
        <v>0</v>
      </c>
      <c r="F320">
        <v>0</v>
      </c>
      <c r="G320" t="b">
        <f>OR(DM_Control_Error_Param__3[[#This Row],[aperture shift (% actuator pitch)]]&gt;10,DM_Control_Error_Param__3[[#This Row],[log-amplitude variance ]]&gt;0.1)</f>
        <v>0</v>
      </c>
    </row>
    <row r="321" spans="1:7" x14ac:dyDescent="0.25">
      <c r="A321" s="1" t="s">
        <v>15</v>
      </c>
      <c r="B321">
        <v>11</v>
      </c>
      <c r="C321">
        <v>45</v>
      </c>
      <c r="D321" s="1" t="s">
        <v>16</v>
      </c>
      <c r="E321">
        <v>0</v>
      </c>
      <c r="F321">
        <v>0</v>
      </c>
      <c r="G321" t="b">
        <f>OR(DM_Control_Error_Param__3[[#This Row],[aperture shift (% actuator pitch)]]&gt;10,DM_Control_Error_Param__3[[#This Row],[log-amplitude variance ]]&gt;0.1)</f>
        <v>0</v>
      </c>
    </row>
    <row r="322" spans="1:7" x14ac:dyDescent="0.25">
      <c r="A322" s="1" t="s">
        <v>15</v>
      </c>
      <c r="B322">
        <v>11</v>
      </c>
      <c r="C322">
        <v>60</v>
      </c>
      <c r="D322" s="1" t="s">
        <v>16</v>
      </c>
      <c r="E322">
        <v>0</v>
      </c>
      <c r="F322">
        <v>0</v>
      </c>
      <c r="G322" t="b">
        <f>OR(DM_Control_Error_Param__3[[#This Row],[aperture shift (% actuator pitch)]]&gt;10,DM_Control_Error_Param__3[[#This Row],[log-amplitude variance ]]&gt;0.1)</f>
        <v>0</v>
      </c>
    </row>
    <row r="323" spans="1:7" x14ac:dyDescent="0.25">
      <c r="A323" s="1" t="s">
        <v>15</v>
      </c>
      <c r="B323">
        <v>11</v>
      </c>
      <c r="C323">
        <v>70</v>
      </c>
      <c r="D323" s="1" t="s">
        <v>16</v>
      </c>
      <c r="E323">
        <v>0</v>
      </c>
      <c r="F323">
        <v>0</v>
      </c>
      <c r="G323" t="b">
        <f>OR(DM_Control_Error_Param__3[[#This Row],[aperture shift (% actuator pitch)]]&gt;10,DM_Control_Error_Param__3[[#This Row],[log-amplitude variance ]]&gt;0.1)</f>
        <v>0</v>
      </c>
    </row>
    <row r="324" spans="1:7" x14ac:dyDescent="0.25">
      <c r="A324" s="1" t="s">
        <v>15</v>
      </c>
      <c r="B324">
        <v>11</v>
      </c>
      <c r="C324">
        <v>80</v>
      </c>
      <c r="D324" s="1" t="s">
        <v>16</v>
      </c>
      <c r="E324">
        <v>0</v>
      </c>
      <c r="F324">
        <v>0</v>
      </c>
      <c r="G324" t="b">
        <f>OR(DM_Control_Error_Param__3[[#This Row],[aperture shift (% actuator pitch)]]&gt;10,DM_Control_Error_Param__3[[#This Row],[log-amplitude variance ]]&gt;0.1)</f>
        <v>0</v>
      </c>
    </row>
    <row r="325" spans="1:7" x14ac:dyDescent="0.25">
      <c r="A325" s="1" t="s">
        <v>15</v>
      </c>
      <c r="B325">
        <v>8</v>
      </c>
      <c r="C325">
        <v>0</v>
      </c>
      <c r="D325" s="1" t="s">
        <v>16</v>
      </c>
      <c r="E325">
        <v>0</v>
      </c>
      <c r="F325">
        <v>0</v>
      </c>
      <c r="G325" t="b">
        <f>OR(DM_Control_Error_Param__3[[#This Row],[aperture shift (% actuator pitch)]]&gt;10,DM_Control_Error_Param__3[[#This Row],[log-amplitude variance ]]&gt;0.1)</f>
        <v>0</v>
      </c>
    </row>
    <row r="326" spans="1:7" x14ac:dyDescent="0.25">
      <c r="A326" s="1" t="s">
        <v>15</v>
      </c>
      <c r="B326">
        <v>8</v>
      </c>
      <c r="C326">
        <v>30</v>
      </c>
      <c r="D326" s="1" t="s">
        <v>16</v>
      </c>
      <c r="E326">
        <v>0</v>
      </c>
      <c r="F326">
        <v>0</v>
      </c>
      <c r="G326" t="b">
        <f>OR(DM_Control_Error_Param__3[[#This Row],[aperture shift (% actuator pitch)]]&gt;10,DM_Control_Error_Param__3[[#This Row],[log-amplitude variance ]]&gt;0.1)</f>
        <v>0</v>
      </c>
    </row>
    <row r="327" spans="1:7" x14ac:dyDescent="0.25">
      <c r="A327" s="1" t="s">
        <v>15</v>
      </c>
      <c r="B327">
        <v>8</v>
      </c>
      <c r="C327">
        <v>45</v>
      </c>
      <c r="D327" s="1" t="s">
        <v>16</v>
      </c>
      <c r="E327">
        <v>0</v>
      </c>
      <c r="F327">
        <v>0</v>
      </c>
      <c r="G327" t="b">
        <f>OR(DM_Control_Error_Param__3[[#This Row],[aperture shift (% actuator pitch)]]&gt;10,DM_Control_Error_Param__3[[#This Row],[log-amplitude variance ]]&gt;0.1)</f>
        <v>0</v>
      </c>
    </row>
    <row r="328" spans="1:7" x14ac:dyDescent="0.25">
      <c r="A328" s="1" t="s">
        <v>15</v>
      </c>
      <c r="B328">
        <v>8</v>
      </c>
      <c r="C328">
        <v>60</v>
      </c>
      <c r="D328" s="1" t="s">
        <v>16</v>
      </c>
      <c r="E328">
        <v>0</v>
      </c>
      <c r="F328">
        <v>0</v>
      </c>
      <c r="G328" t="b">
        <f>OR(DM_Control_Error_Param__3[[#This Row],[aperture shift (% actuator pitch)]]&gt;10,DM_Control_Error_Param__3[[#This Row],[log-amplitude variance ]]&gt;0.1)</f>
        <v>0</v>
      </c>
    </row>
    <row r="329" spans="1:7" x14ac:dyDescent="0.25">
      <c r="A329" s="1" t="s">
        <v>15</v>
      </c>
      <c r="B329">
        <v>8</v>
      </c>
      <c r="C329">
        <v>70</v>
      </c>
      <c r="D329" s="1" t="s">
        <v>16</v>
      </c>
      <c r="E329">
        <v>0</v>
      </c>
      <c r="F329">
        <v>0</v>
      </c>
      <c r="G329" t="b">
        <f>OR(DM_Control_Error_Param__3[[#This Row],[aperture shift (% actuator pitch)]]&gt;10,DM_Control_Error_Param__3[[#This Row],[log-amplitude variance ]]&gt;0.1)</f>
        <v>0</v>
      </c>
    </row>
    <row r="330" spans="1:7" x14ac:dyDescent="0.25">
      <c r="A330" s="1" t="s">
        <v>15</v>
      </c>
      <c r="B330">
        <v>8</v>
      </c>
      <c r="C330">
        <v>80</v>
      </c>
      <c r="D330" s="1" t="s">
        <v>16</v>
      </c>
      <c r="E330">
        <v>0</v>
      </c>
      <c r="F330">
        <v>0</v>
      </c>
      <c r="G330" t="b">
        <f>OR(DM_Control_Error_Param__3[[#This Row],[aperture shift (% actuator pitch)]]&gt;10,DM_Control_Error_Param__3[[#This Row],[log-amplitude variance ]]&gt;0.1)</f>
        <v>0</v>
      </c>
    </row>
    <row r="331" spans="1:7" x14ac:dyDescent="0.25">
      <c r="A331" s="1" t="s">
        <v>15</v>
      </c>
      <c r="B331">
        <v>5</v>
      </c>
      <c r="C331">
        <v>0</v>
      </c>
      <c r="D331" s="1" t="s">
        <v>16</v>
      </c>
      <c r="E331">
        <v>0</v>
      </c>
      <c r="F331">
        <v>0</v>
      </c>
      <c r="G331" t="b">
        <f>OR(DM_Control_Error_Param__3[[#This Row],[aperture shift (% actuator pitch)]]&gt;10,DM_Control_Error_Param__3[[#This Row],[log-amplitude variance ]]&gt;0.1)</f>
        <v>0</v>
      </c>
    </row>
    <row r="332" spans="1:7" x14ac:dyDescent="0.25">
      <c r="A332" s="1" t="s">
        <v>15</v>
      </c>
      <c r="B332">
        <v>5</v>
      </c>
      <c r="C332">
        <v>30</v>
      </c>
      <c r="D332" s="1" t="s">
        <v>16</v>
      </c>
      <c r="E332">
        <v>0</v>
      </c>
      <c r="F332">
        <v>0</v>
      </c>
      <c r="G332" t="b">
        <f>OR(DM_Control_Error_Param__3[[#This Row],[aperture shift (% actuator pitch)]]&gt;10,DM_Control_Error_Param__3[[#This Row],[log-amplitude variance ]]&gt;0.1)</f>
        <v>0</v>
      </c>
    </row>
    <row r="333" spans="1:7" x14ac:dyDescent="0.25">
      <c r="A333" s="1" t="s">
        <v>15</v>
      </c>
      <c r="B333">
        <v>5</v>
      </c>
      <c r="C333">
        <v>45</v>
      </c>
      <c r="D333" s="1" t="s">
        <v>16</v>
      </c>
      <c r="E333">
        <v>0</v>
      </c>
      <c r="F333">
        <v>0</v>
      </c>
      <c r="G333" t="b">
        <f>OR(DM_Control_Error_Param__3[[#This Row],[aperture shift (% actuator pitch)]]&gt;10,DM_Control_Error_Param__3[[#This Row],[log-amplitude variance ]]&gt;0.1)</f>
        <v>0</v>
      </c>
    </row>
    <row r="334" spans="1:7" x14ac:dyDescent="0.25">
      <c r="A334" s="1" t="s">
        <v>15</v>
      </c>
      <c r="B334">
        <v>5</v>
      </c>
      <c r="C334">
        <v>60</v>
      </c>
      <c r="D334" s="1" t="s">
        <v>16</v>
      </c>
      <c r="E334">
        <v>0</v>
      </c>
      <c r="F334">
        <v>0</v>
      </c>
      <c r="G334" t="b">
        <f>OR(DM_Control_Error_Param__3[[#This Row],[aperture shift (% actuator pitch)]]&gt;10,DM_Control_Error_Param__3[[#This Row],[log-amplitude variance ]]&gt;0.1)</f>
        <v>0</v>
      </c>
    </row>
    <row r="335" spans="1:7" x14ac:dyDescent="0.25">
      <c r="A335" s="1" t="s">
        <v>15</v>
      </c>
      <c r="B335">
        <v>5</v>
      </c>
      <c r="C335">
        <v>70</v>
      </c>
      <c r="D335" s="1" t="s">
        <v>16</v>
      </c>
      <c r="E335">
        <v>0</v>
      </c>
      <c r="F335">
        <v>0</v>
      </c>
      <c r="G335" t="b">
        <f>OR(DM_Control_Error_Param__3[[#This Row],[aperture shift (% actuator pitch)]]&gt;10,DM_Control_Error_Param__3[[#This Row],[log-amplitude variance ]]&gt;0.1)</f>
        <v>0</v>
      </c>
    </row>
    <row r="336" spans="1:7" x14ac:dyDescent="0.25">
      <c r="A336" s="1" t="s">
        <v>15</v>
      </c>
      <c r="B336">
        <v>5</v>
      </c>
      <c r="C336">
        <v>80</v>
      </c>
      <c r="D336" s="1" t="s">
        <v>16</v>
      </c>
      <c r="E336">
        <v>0</v>
      </c>
      <c r="F336">
        <v>0</v>
      </c>
      <c r="G336" t="b">
        <f>OR(DM_Control_Error_Param__3[[#This Row],[aperture shift (% actuator pitch)]]&gt;10,DM_Control_Error_Param__3[[#This Row],[log-amplitude variance ]]&gt;0.1)</f>
        <v>0</v>
      </c>
    </row>
    <row r="337" spans="1:7" x14ac:dyDescent="0.25">
      <c r="A337" s="1" t="s">
        <v>15</v>
      </c>
      <c r="B337">
        <v>3</v>
      </c>
      <c r="C337">
        <v>0</v>
      </c>
      <c r="D337" s="1" t="s">
        <v>16</v>
      </c>
      <c r="E337">
        <v>0</v>
      </c>
      <c r="F337">
        <v>0</v>
      </c>
      <c r="G337" t="b">
        <f>OR(DM_Control_Error_Param__3[[#This Row],[aperture shift (% actuator pitch)]]&gt;10,DM_Control_Error_Param__3[[#This Row],[log-amplitude variance ]]&gt;0.1)</f>
        <v>0</v>
      </c>
    </row>
    <row r="338" spans="1:7" x14ac:dyDescent="0.25">
      <c r="A338" s="1" t="s">
        <v>15</v>
      </c>
      <c r="B338">
        <v>3</v>
      </c>
      <c r="C338">
        <v>30</v>
      </c>
      <c r="D338" s="1" t="s">
        <v>16</v>
      </c>
      <c r="E338">
        <v>0</v>
      </c>
      <c r="F338">
        <v>0</v>
      </c>
      <c r="G338" t="b">
        <f>OR(DM_Control_Error_Param__3[[#This Row],[aperture shift (% actuator pitch)]]&gt;10,DM_Control_Error_Param__3[[#This Row],[log-amplitude variance ]]&gt;0.1)</f>
        <v>0</v>
      </c>
    </row>
    <row r="339" spans="1:7" x14ac:dyDescent="0.25">
      <c r="A339" s="1" t="s">
        <v>15</v>
      </c>
      <c r="B339">
        <v>3</v>
      </c>
      <c r="C339">
        <v>45</v>
      </c>
      <c r="D339" s="1" t="s">
        <v>16</v>
      </c>
      <c r="E339">
        <v>0</v>
      </c>
      <c r="F339">
        <v>0</v>
      </c>
      <c r="G339" t="b">
        <f>OR(DM_Control_Error_Param__3[[#This Row],[aperture shift (% actuator pitch)]]&gt;10,DM_Control_Error_Param__3[[#This Row],[log-amplitude variance ]]&gt;0.1)</f>
        <v>0</v>
      </c>
    </row>
    <row r="340" spans="1:7" x14ac:dyDescent="0.25">
      <c r="A340" s="1" t="s">
        <v>15</v>
      </c>
      <c r="B340">
        <v>3</v>
      </c>
      <c r="C340">
        <v>60</v>
      </c>
      <c r="D340" s="1" t="s">
        <v>16</v>
      </c>
      <c r="E340">
        <v>0</v>
      </c>
      <c r="F340">
        <v>0</v>
      </c>
      <c r="G340" t="b">
        <f>OR(DM_Control_Error_Param__3[[#This Row],[aperture shift (% actuator pitch)]]&gt;10,DM_Control_Error_Param__3[[#This Row],[log-amplitude variance ]]&gt;0.1)</f>
        <v>0</v>
      </c>
    </row>
    <row r="341" spans="1:7" x14ac:dyDescent="0.25">
      <c r="A341" s="1" t="s">
        <v>15</v>
      </c>
      <c r="B341">
        <v>3</v>
      </c>
      <c r="C341">
        <v>70</v>
      </c>
      <c r="D341" s="1" t="s">
        <v>16</v>
      </c>
      <c r="E341">
        <v>0</v>
      </c>
      <c r="F341">
        <v>0</v>
      </c>
      <c r="G341" t="b">
        <f>OR(DM_Control_Error_Param__3[[#This Row],[aperture shift (% actuator pitch)]]&gt;10,DM_Control_Error_Param__3[[#This Row],[log-amplitude variance ]]&gt;0.1)</f>
        <v>0</v>
      </c>
    </row>
    <row r="342" spans="1:7" x14ac:dyDescent="0.25">
      <c r="A342" s="1" t="s">
        <v>15</v>
      </c>
      <c r="B342">
        <v>3</v>
      </c>
      <c r="C342">
        <v>80</v>
      </c>
      <c r="D342" s="1" t="s">
        <v>16</v>
      </c>
      <c r="E342">
        <v>0</v>
      </c>
      <c r="F342">
        <v>0</v>
      </c>
      <c r="G342" t="b">
        <f>OR(DM_Control_Error_Param__3[[#This Row],[aperture shift (% actuator pitch)]]&gt;10,DM_Control_Error_Param__3[[#This Row],[log-amplitude variance ]]&gt;0.1)</f>
        <v>0</v>
      </c>
    </row>
    <row r="343" spans="1:7" x14ac:dyDescent="0.25">
      <c r="A343" s="1" t="s">
        <v>15</v>
      </c>
      <c r="B343">
        <v>2</v>
      </c>
      <c r="C343">
        <v>0</v>
      </c>
      <c r="D343" s="1" t="s">
        <v>16</v>
      </c>
      <c r="E343">
        <v>0</v>
      </c>
      <c r="F343">
        <v>0</v>
      </c>
      <c r="G343" t="b">
        <f>OR(DM_Control_Error_Param__3[[#This Row],[aperture shift (% actuator pitch)]]&gt;10,DM_Control_Error_Param__3[[#This Row],[log-amplitude variance ]]&gt;0.1)</f>
        <v>0</v>
      </c>
    </row>
    <row r="344" spans="1:7" x14ac:dyDescent="0.25">
      <c r="A344" s="1" t="s">
        <v>15</v>
      </c>
      <c r="B344">
        <v>2</v>
      </c>
      <c r="C344">
        <v>30</v>
      </c>
      <c r="D344" s="1" t="s">
        <v>16</v>
      </c>
      <c r="E344">
        <v>0</v>
      </c>
      <c r="F344">
        <v>0</v>
      </c>
      <c r="G344" t="b">
        <f>OR(DM_Control_Error_Param__3[[#This Row],[aperture shift (% actuator pitch)]]&gt;10,DM_Control_Error_Param__3[[#This Row],[log-amplitude variance ]]&gt;0.1)</f>
        <v>0</v>
      </c>
    </row>
    <row r="345" spans="1:7" x14ac:dyDescent="0.25">
      <c r="A345" s="1" t="s">
        <v>15</v>
      </c>
      <c r="B345">
        <v>2</v>
      </c>
      <c r="C345">
        <v>45</v>
      </c>
      <c r="D345" s="1" t="s">
        <v>16</v>
      </c>
      <c r="E345">
        <v>0</v>
      </c>
      <c r="F345">
        <v>0</v>
      </c>
      <c r="G345" t="b">
        <f>OR(DM_Control_Error_Param__3[[#This Row],[aperture shift (% actuator pitch)]]&gt;10,DM_Control_Error_Param__3[[#This Row],[log-amplitude variance ]]&gt;0.1)</f>
        <v>0</v>
      </c>
    </row>
    <row r="346" spans="1:7" x14ac:dyDescent="0.25">
      <c r="A346" s="1" t="s">
        <v>15</v>
      </c>
      <c r="B346">
        <v>2</v>
      </c>
      <c r="C346">
        <v>60</v>
      </c>
      <c r="D346" s="1" t="s">
        <v>16</v>
      </c>
      <c r="E346">
        <v>0</v>
      </c>
      <c r="F346">
        <v>0</v>
      </c>
      <c r="G346" t="b">
        <f>OR(DM_Control_Error_Param__3[[#This Row],[aperture shift (% actuator pitch)]]&gt;10,DM_Control_Error_Param__3[[#This Row],[log-amplitude variance ]]&gt;0.1)</f>
        <v>0</v>
      </c>
    </row>
    <row r="347" spans="1:7" x14ac:dyDescent="0.25">
      <c r="A347" s="1" t="s">
        <v>15</v>
      </c>
      <c r="B347">
        <v>2</v>
      </c>
      <c r="C347">
        <v>70</v>
      </c>
      <c r="D347" s="1" t="s">
        <v>16</v>
      </c>
      <c r="E347">
        <v>0</v>
      </c>
      <c r="F347">
        <v>0</v>
      </c>
      <c r="G347" t="b">
        <f>OR(DM_Control_Error_Param__3[[#This Row],[aperture shift (% actuator pitch)]]&gt;10,DM_Control_Error_Param__3[[#This Row],[log-amplitude variance ]]&gt;0.1)</f>
        <v>0</v>
      </c>
    </row>
    <row r="348" spans="1:7" x14ac:dyDescent="0.25">
      <c r="A348" s="1" t="s">
        <v>15</v>
      </c>
      <c r="B348">
        <v>2</v>
      </c>
      <c r="C348">
        <v>80</v>
      </c>
      <c r="D348" s="1" t="s">
        <v>16</v>
      </c>
      <c r="E348">
        <v>0</v>
      </c>
      <c r="F348">
        <v>0</v>
      </c>
      <c r="G348" t="b">
        <f>OR(DM_Control_Error_Param__3[[#This Row],[aperture shift (% actuator pitch)]]&gt;10,DM_Control_Error_Param__3[[#This Row],[log-amplitude variance ]]&gt;0.1)</f>
        <v>0</v>
      </c>
    </row>
    <row r="349" spans="1:7" x14ac:dyDescent="0.25">
      <c r="A349" s="1" t="s">
        <v>10</v>
      </c>
      <c r="B349">
        <v>14</v>
      </c>
      <c r="C349">
        <v>0</v>
      </c>
      <c r="D349" s="1" t="s">
        <v>11</v>
      </c>
      <c r="E349">
        <v>0</v>
      </c>
      <c r="F349">
        <v>0</v>
      </c>
      <c r="G349" t="b">
        <f>OR(DM_Control_Error_Param__3[[#This Row],[aperture shift (% actuator pitch)]]&gt;10,DM_Control_Error_Param__3[[#This Row],[log-amplitude variance ]]&gt;0.1)</f>
        <v>0</v>
      </c>
    </row>
    <row r="350" spans="1:7" x14ac:dyDescent="0.25">
      <c r="A350" s="1" t="s">
        <v>10</v>
      </c>
      <c r="B350">
        <v>14</v>
      </c>
      <c r="C350">
        <v>30</v>
      </c>
      <c r="D350" s="1" t="s">
        <v>11</v>
      </c>
      <c r="E350">
        <v>0</v>
      </c>
      <c r="F350">
        <v>0</v>
      </c>
      <c r="G350" t="b">
        <f>OR(DM_Control_Error_Param__3[[#This Row],[aperture shift (% actuator pitch)]]&gt;10,DM_Control_Error_Param__3[[#This Row],[log-amplitude variance ]]&gt;0.1)</f>
        <v>0</v>
      </c>
    </row>
    <row r="351" spans="1:7" x14ac:dyDescent="0.25">
      <c r="A351" s="1" t="s">
        <v>10</v>
      </c>
      <c r="B351">
        <v>14</v>
      </c>
      <c r="C351">
        <v>45</v>
      </c>
      <c r="D351" s="1" t="s">
        <v>11</v>
      </c>
      <c r="E351">
        <v>0</v>
      </c>
      <c r="F351">
        <v>0</v>
      </c>
      <c r="G351" t="b">
        <f>OR(DM_Control_Error_Param__3[[#This Row],[aperture shift (% actuator pitch)]]&gt;10,DM_Control_Error_Param__3[[#This Row],[log-amplitude variance ]]&gt;0.1)</f>
        <v>0</v>
      </c>
    </row>
    <row r="352" spans="1:7" x14ac:dyDescent="0.25">
      <c r="A352" s="1" t="s">
        <v>10</v>
      </c>
      <c r="B352">
        <v>14</v>
      </c>
      <c r="C352">
        <v>60</v>
      </c>
      <c r="D352" s="1" t="s">
        <v>11</v>
      </c>
      <c r="E352">
        <v>0</v>
      </c>
      <c r="F352">
        <v>0</v>
      </c>
      <c r="G352" t="b">
        <f>OR(DM_Control_Error_Param__3[[#This Row],[aperture shift (% actuator pitch)]]&gt;10,DM_Control_Error_Param__3[[#This Row],[log-amplitude variance ]]&gt;0.1)</f>
        <v>0</v>
      </c>
    </row>
    <row r="353" spans="1:7" x14ac:dyDescent="0.25">
      <c r="A353" s="1" t="s">
        <v>10</v>
      </c>
      <c r="B353">
        <v>14</v>
      </c>
      <c r="C353">
        <v>70</v>
      </c>
      <c r="D353" s="1" t="s">
        <v>11</v>
      </c>
      <c r="E353">
        <v>0</v>
      </c>
      <c r="F353">
        <v>0</v>
      </c>
      <c r="G353" t="b">
        <f>OR(DM_Control_Error_Param__3[[#This Row],[aperture shift (% actuator pitch)]]&gt;10,DM_Control_Error_Param__3[[#This Row],[log-amplitude variance ]]&gt;0.1)</f>
        <v>0</v>
      </c>
    </row>
    <row r="354" spans="1:7" x14ac:dyDescent="0.25">
      <c r="A354" s="1" t="s">
        <v>10</v>
      </c>
      <c r="B354">
        <v>14</v>
      </c>
      <c r="C354">
        <v>80</v>
      </c>
      <c r="D354" s="1" t="s">
        <v>11</v>
      </c>
      <c r="E354">
        <v>0</v>
      </c>
      <c r="F354">
        <v>0</v>
      </c>
      <c r="G354" t="b">
        <f>OR(DM_Control_Error_Param__3[[#This Row],[aperture shift (% actuator pitch)]]&gt;10,DM_Control_Error_Param__3[[#This Row],[log-amplitude variance ]]&gt;0.1)</f>
        <v>0</v>
      </c>
    </row>
    <row r="355" spans="1:7" x14ac:dyDescent="0.25">
      <c r="A355" s="1" t="s">
        <v>10</v>
      </c>
      <c r="B355">
        <v>11</v>
      </c>
      <c r="C355">
        <v>0</v>
      </c>
      <c r="D355" s="1" t="s">
        <v>11</v>
      </c>
      <c r="E355">
        <v>0</v>
      </c>
      <c r="F355">
        <v>0</v>
      </c>
      <c r="G355" t="b">
        <f>OR(DM_Control_Error_Param__3[[#This Row],[aperture shift (% actuator pitch)]]&gt;10,DM_Control_Error_Param__3[[#This Row],[log-amplitude variance ]]&gt;0.1)</f>
        <v>0</v>
      </c>
    </row>
    <row r="356" spans="1:7" x14ac:dyDescent="0.25">
      <c r="A356" s="1" t="s">
        <v>10</v>
      </c>
      <c r="B356">
        <v>11</v>
      </c>
      <c r="C356">
        <v>30</v>
      </c>
      <c r="D356" s="1" t="s">
        <v>11</v>
      </c>
      <c r="E356">
        <v>0</v>
      </c>
      <c r="F356">
        <v>0</v>
      </c>
      <c r="G356" t="b">
        <f>OR(DM_Control_Error_Param__3[[#This Row],[aperture shift (% actuator pitch)]]&gt;10,DM_Control_Error_Param__3[[#This Row],[log-amplitude variance ]]&gt;0.1)</f>
        <v>0</v>
      </c>
    </row>
    <row r="357" spans="1:7" x14ac:dyDescent="0.25">
      <c r="A357" s="1" t="s">
        <v>10</v>
      </c>
      <c r="B357">
        <v>11</v>
      </c>
      <c r="C357">
        <v>45</v>
      </c>
      <c r="D357" s="1" t="s">
        <v>11</v>
      </c>
      <c r="E357">
        <v>0</v>
      </c>
      <c r="F357">
        <v>0</v>
      </c>
      <c r="G357" t="b">
        <f>OR(DM_Control_Error_Param__3[[#This Row],[aperture shift (% actuator pitch)]]&gt;10,DM_Control_Error_Param__3[[#This Row],[log-amplitude variance ]]&gt;0.1)</f>
        <v>0</v>
      </c>
    </row>
    <row r="358" spans="1:7" x14ac:dyDescent="0.25">
      <c r="A358" s="1" t="s">
        <v>10</v>
      </c>
      <c r="B358">
        <v>11</v>
      </c>
      <c r="C358">
        <v>60</v>
      </c>
      <c r="D358" s="1" t="s">
        <v>11</v>
      </c>
      <c r="E358">
        <v>0</v>
      </c>
      <c r="F358">
        <v>0</v>
      </c>
      <c r="G358" t="b">
        <f>OR(DM_Control_Error_Param__3[[#This Row],[aperture shift (% actuator pitch)]]&gt;10,DM_Control_Error_Param__3[[#This Row],[log-amplitude variance ]]&gt;0.1)</f>
        <v>0</v>
      </c>
    </row>
    <row r="359" spans="1:7" x14ac:dyDescent="0.25">
      <c r="A359" s="1" t="s">
        <v>10</v>
      </c>
      <c r="B359">
        <v>11</v>
      </c>
      <c r="C359">
        <v>70</v>
      </c>
      <c r="D359" s="1" t="s">
        <v>11</v>
      </c>
      <c r="E359">
        <v>0</v>
      </c>
      <c r="F359">
        <v>0</v>
      </c>
      <c r="G359" t="b">
        <f>OR(DM_Control_Error_Param__3[[#This Row],[aperture shift (% actuator pitch)]]&gt;10,DM_Control_Error_Param__3[[#This Row],[log-amplitude variance ]]&gt;0.1)</f>
        <v>0</v>
      </c>
    </row>
    <row r="360" spans="1:7" x14ac:dyDescent="0.25">
      <c r="A360" s="1" t="s">
        <v>10</v>
      </c>
      <c r="B360">
        <v>11</v>
      </c>
      <c r="C360">
        <v>80</v>
      </c>
      <c r="D360" s="1" t="s">
        <v>11</v>
      </c>
      <c r="E360">
        <v>0</v>
      </c>
      <c r="F360">
        <v>0</v>
      </c>
      <c r="G360" t="b">
        <f>OR(DM_Control_Error_Param__3[[#This Row],[aperture shift (% actuator pitch)]]&gt;10,DM_Control_Error_Param__3[[#This Row],[log-amplitude variance ]]&gt;0.1)</f>
        <v>0</v>
      </c>
    </row>
    <row r="361" spans="1:7" x14ac:dyDescent="0.25">
      <c r="A361" s="1" t="s">
        <v>10</v>
      </c>
      <c r="B361">
        <v>8</v>
      </c>
      <c r="C361">
        <v>0</v>
      </c>
      <c r="D361" s="1" t="s">
        <v>11</v>
      </c>
      <c r="E361">
        <v>0</v>
      </c>
      <c r="F361">
        <v>0</v>
      </c>
      <c r="G361" t="b">
        <f>OR(DM_Control_Error_Param__3[[#This Row],[aperture shift (% actuator pitch)]]&gt;10,DM_Control_Error_Param__3[[#This Row],[log-amplitude variance ]]&gt;0.1)</f>
        <v>0</v>
      </c>
    </row>
    <row r="362" spans="1:7" x14ac:dyDescent="0.25">
      <c r="A362" s="1" t="s">
        <v>10</v>
      </c>
      <c r="B362">
        <v>8</v>
      </c>
      <c r="C362">
        <v>30</v>
      </c>
      <c r="D362" s="1" t="s">
        <v>11</v>
      </c>
      <c r="E362">
        <v>0</v>
      </c>
      <c r="F362">
        <v>0</v>
      </c>
      <c r="G362" t="b">
        <f>OR(DM_Control_Error_Param__3[[#This Row],[aperture shift (% actuator pitch)]]&gt;10,DM_Control_Error_Param__3[[#This Row],[log-amplitude variance ]]&gt;0.1)</f>
        <v>0</v>
      </c>
    </row>
    <row r="363" spans="1:7" x14ac:dyDescent="0.25">
      <c r="A363" s="1" t="s">
        <v>10</v>
      </c>
      <c r="B363">
        <v>8</v>
      </c>
      <c r="C363">
        <v>45</v>
      </c>
      <c r="D363" s="1" t="s">
        <v>11</v>
      </c>
      <c r="E363">
        <v>0</v>
      </c>
      <c r="F363">
        <v>0</v>
      </c>
      <c r="G363" t="b">
        <f>OR(DM_Control_Error_Param__3[[#This Row],[aperture shift (% actuator pitch)]]&gt;10,DM_Control_Error_Param__3[[#This Row],[log-amplitude variance ]]&gt;0.1)</f>
        <v>0</v>
      </c>
    </row>
    <row r="364" spans="1:7" x14ac:dyDescent="0.25">
      <c r="A364" s="1" t="s">
        <v>10</v>
      </c>
      <c r="B364">
        <v>8</v>
      </c>
      <c r="C364">
        <v>60</v>
      </c>
      <c r="D364" s="1" t="s">
        <v>11</v>
      </c>
      <c r="E364">
        <v>0</v>
      </c>
      <c r="F364">
        <v>0</v>
      </c>
      <c r="G364" t="b">
        <f>OR(DM_Control_Error_Param__3[[#This Row],[aperture shift (% actuator pitch)]]&gt;10,DM_Control_Error_Param__3[[#This Row],[log-amplitude variance ]]&gt;0.1)</f>
        <v>0</v>
      </c>
    </row>
    <row r="365" spans="1:7" x14ac:dyDescent="0.25">
      <c r="A365" s="1" t="s">
        <v>10</v>
      </c>
      <c r="B365">
        <v>8</v>
      </c>
      <c r="C365">
        <v>70</v>
      </c>
      <c r="D365" s="1" t="s">
        <v>11</v>
      </c>
      <c r="E365">
        <v>0</v>
      </c>
      <c r="F365">
        <v>0</v>
      </c>
      <c r="G365" t="b">
        <f>OR(DM_Control_Error_Param__3[[#This Row],[aperture shift (% actuator pitch)]]&gt;10,DM_Control_Error_Param__3[[#This Row],[log-amplitude variance ]]&gt;0.1)</f>
        <v>0</v>
      </c>
    </row>
    <row r="366" spans="1:7" x14ac:dyDescent="0.25">
      <c r="A366" s="1" t="s">
        <v>10</v>
      </c>
      <c r="B366">
        <v>8</v>
      </c>
      <c r="C366">
        <v>80</v>
      </c>
      <c r="D366" s="1" t="s">
        <v>11</v>
      </c>
      <c r="E366">
        <v>0</v>
      </c>
      <c r="F366">
        <v>0</v>
      </c>
      <c r="G366" t="b">
        <f>OR(DM_Control_Error_Param__3[[#This Row],[aperture shift (% actuator pitch)]]&gt;10,DM_Control_Error_Param__3[[#This Row],[log-amplitude variance ]]&gt;0.1)</f>
        <v>0</v>
      </c>
    </row>
    <row r="367" spans="1:7" x14ac:dyDescent="0.25">
      <c r="A367" s="1" t="s">
        <v>10</v>
      </c>
      <c r="B367">
        <v>5</v>
      </c>
      <c r="C367">
        <v>0</v>
      </c>
      <c r="D367" s="1" t="s">
        <v>11</v>
      </c>
      <c r="E367">
        <v>0</v>
      </c>
      <c r="F367">
        <v>0</v>
      </c>
      <c r="G367" t="b">
        <f>OR(DM_Control_Error_Param__3[[#This Row],[aperture shift (% actuator pitch)]]&gt;10,DM_Control_Error_Param__3[[#This Row],[log-amplitude variance ]]&gt;0.1)</f>
        <v>0</v>
      </c>
    </row>
    <row r="368" spans="1:7" x14ac:dyDescent="0.25">
      <c r="A368" s="1" t="s">
        <v>10</v>
      </c>
      <c r="B368">
        <v>5</v>
      </c>
      <c r="C368">
        <v>30</v>
      </c>
      <c r="D368" s="1" t="s">
        <v>11</v>
      </c>
      <c r="E368">
        <v>0</v>
      </c>
      <c r="F368">
        <v>0</v>
      </c>
      <c r="G368" t="b">
        <f>OR(DM_Control_Error_Param__3[[#This Row],[aperture shift (% actuator pitch)]]&gt;10,DM_Control_Error_Param__3[[#This Row],[log-amplitude variance ]]&gt;0.1)</f>
        <v>0</v>
      </c>
    </row>
    <row r="369" spans="1:7" x14ac:dyDescent="0.25">
      <c r="A369" s="1" t="s">
        <v>10</v>
      </c>
      <c r="B369">
        <v>5</v>
      </c>
      <c r="C369">
        <v>45</v>
      </c>
      <c r="D369" s="1" t="s">
        <v>11</v>
      </c>
      <c r="E369">
        <v>0</v>
      </c>
      <c r="F369">
        <v>0</v>
      </c>
      <c r="G369" t="b">
        <f>OR(DM_Control_Error_Param__3[[#This Row],[aperture shift (% actuator pitch)]]&gt;10,DM_Control_Error_Param__3[[#This Row],[log-amplitude variance ]]&gt;0.1)</f>
        <v>0</v>
      </c>
    </row>
    <row r="370" spans="1:7" x14ac:dyDescent="0.25">
      <c r="A370" s="1" t="s">
        <v>10</v>
      </c>
      <c r="B370">
        <v>5</v>
      </c>
      <c r="C370">
        <v>60</v>
      </c>
      <c r="D370" s="1" t="s">
        <v>11</v>
      </c>
      <c r="E370">
        <v>0</v>
      </c>
      <c r="F370">
        <v>0</v>
      </c>
      <c r="G370" t="b">
        <f>OR(DM_Control_Error_Param__3[[#This Row],[aperture shift (% actuator pitch)]]&gt;10,DM_Control_Error_Param__3[[#This Row],[log-amplitude variance ]]&gt;0.1)</f>
        <v>0</v>
      </c>
    </row>
    <row r="371" spans="1:7" x14ac:dyDescent="0.25">
      <c r="A371" s="1" t="s">
        <v>10</v>
      </c>
      <c r="B371">
        <v>5</v>
      </c>
      <c r="C371">
        <v>70</v>
      </c>
      <c r="D371" s="1" t="s">
        <v>11</v>
      </c>
      <c r="E371">
        <v>0</v>
      </c>
      <c r="F371">
        <v>0</v>
      </c>
      <c r="G371" t="b">
        <f>OR(DM_Control_Error_Param__3[[#This Row],[aperture shift (% actuator pitch)]]&gt;10,DM_Control_Error_Param__3[[#This Row],[log-amplitude variance ]]&gt;0.1)</f>
        <v>0</v>
      </c>
    </row>
    <row r="372" spans="1:7" x14ac:dyDescent="0.25">
      <c r="A372" s="1" t="s">
        <v>10</v>
      </c>
      <c r="B372">
        <v>5</v>
      </c>
      <c r="C372">
        <v>80</v>
      </c>
      <c r="D372" s="1" t="s">
        <v>11</v>
      </c>
      <c r="E372">
        <v>0</v>
      </c>
      <c r="F372">
        <v>0</v>
      </c>
      <c r="G372" t="b">
        <f>OR(DM_Control_Error_Param__3[[#This Row],[aperture shift (% actuator pitch)]]&gt;10,DM_Control_Error_Param__3[[#This Row],[log-amplitude variance ]]&gt;0.1)</f>
        <v>0</v>
      </c>
    </row>
    <row r="373" spans="1:7" x14ac:dyDescent="0.25">
      <c r="A373" s="1" t="s">
        <v>10</v>
      </c>
      <c r="B373">
        <v>3</v>
      </c>
      <c r="C373">
        <v>0</v>
      </c>
      <c r="D373" s="1" t="s">
        <v>11</v>
      </c>
      <c r="E373">
        <v>0</v>
      </c>
      <c r="F373">
        <v>0</v>
      </c>
      <c r="G373" t="b">
        <f>OR(DM_Control_Error_Param__3[[#This Row],[aperture shift (% actuator pitch)]]&gt;10,DM_Control_Error_Param__3[[#This Row],[log-amplitude variance ]]&gt;0.1)</f>
        <v>0</v>
      </c>
    </row>
    <row r="374" spans="1:7" x14ac:dyDescent="0.25">
      <c r="A374" s="1" t="s">
        <v>10</v>
      </c>
      <c r="B374">
        <v>3</v>
      </c>
      <c r="C374">
        <v>30</v>
      </c>
      <c r="D374" s="1" t="s">
        <v>11</v>
      </c>
      <c r="E374">
        <v>0</v>
      </c>
      <c r="F374">
        <v>0</v>
      </c>
      <c r="G374" t="b">
        <f>OR(DM_Control_Error_Param__3[[#This Row],[aperture shift (% actuator pitch)]]&gt;10,DM_Control_Error_Param__3[[#This Row],[log-amplitude variance ]]&gt;0.1)</f>
        <v>0</v>
      </c>
    </row>
    <row r="375" spans="1:7" x14ac:dyDescent="0.25">
      <c r="A375" s="1" t="s">
        <v>10</v>
      </c>
      <c r="B375">
        <v>3</v>
      </c>
      <c r="C375">
        <v>45</v>
      </c>
      <c r="D375" s="1" t="s">
        <v>11</v>
      </c>
      <c r="E375">
        <v>0</v>
      </c>
      <c r="F375">
        <v>0</v>
      </c>
      <c r="G375" t="b">
        <f>OR(DM_Control_Error_Param__3[[#This Row],[aperture shift (% actuator pitch)]]&gt;10,DM_Control_Error_Param__3[[#This Row],[log-amplitude variance ]]&gt;0.1)</f>
        <v>0</v>
      </c>
    </row>
    <row r="376" spans="1:7" x14ac:dyDescent="0.25">
      <c r="A376" s="1" t="s">
        <v>10</v>
      </c>
      <c r="B376">
        <v>3</v>
      </c>
      <c r="C376">
        <v>60</v>
      </c>
      <c r="D376" s="1" t="s">
        <v>11</v>
      </c>
      <c r="E376">
        <v>0</v>
      </c>
      <c r="F376">
        <v>0</v>
      </c>
      <c r="G376" t="b">
        <f>OR(DM_Control_Error_Param__3[[#This Row],[aperture shift (% actuator pitch)]]&gt;10,DM_Control_Error_Param__3[[#This Row],[log-amplitude variance ]]&gt;0.1)</f>
        <v>0</v>
      </c>
    </row>
    <row r="377" spans="1:7" x14ac:dyDescent="0.25">
      <c r="A377" s="1" t="s">
        <v>10</v>
      </c>
      <c r="B377">
        <v>3</v>
      </c>
      <c r="C377">
        <v>70</v>
      </c>
      <c r="D377" s="1" t="s">
        <v>11</v>
      </c>
      <c r="E377">
        <v>0</v>
      </c>
      <c r="F377">
        <v>0</v>
      </c>
      <c r="G377" t="b">
        <f>OR(DM_Control_Error_Param__3[[#This Row],[aperture shift (% actuator pitch)]]&gt;10,DM_Control_Error_Param__3[[#This Row],[log-amplitude variance ]]&gt;0.1)</f>
        <v>0</v>
      </c>
    </row>
    <row r="378" spans="1:7" x14ac:dyDescent="0.25">
      <c r="A378" s="1" t="s">
        <v>10</v>
      </c>
      <c r="B378">
        <v>3</v>
      </c>
      <c r="C378">
        <v>80</v>
      </c>
      <c r="D378" s="1" t="s">
        <v>11</v>
      </c>
      <c r="E378">
        <v>0</v>
      </c>
      <c r="F378">
        <v>0</v>
      </c>
      <c r="G378" t="b">
        <f>OR(DM_Control_Error_Param__3[[#This Row],[aperture shift (% actuator pitch)]]&gt;10,DM_Control_Error_Param__3[[#This Row],[log-amplitude variance ]]&gt;0.1)</f>
        <v>0</v>
      </c>
    </row>
    <row r="379" spans="1:7" x14ac:dyDescent="0.25">
      <c r="A379" s="1" t="s">
        <v>10</v>
      </c>
      <c r="B379">
        <v>2</v>
      </c>
      <c r="C379">
        <v>0</v>
      </c>
      <c r="D379" s="1" t="s">
        <v>11</v>
      </c>
      <c r="E379">
        <v>0</v>
      </c>
      <c r="F379">
        <v>0</v>
      </c>
      <c r="G379" t="b">
        <f>OR(DM_Control_Error_Param__3[[#This Row],[aperture shift (% actuator pitch)]]&gt;10,DM_Control_Error_Param__3[[#This Row],[log-amplitude variance ]]&gt;0.1)</f>
        <v>0</v>
      </c>
    </row>
    <row r="380" spans="1:7" x14ac:dyDescent="0.25">
      <c r="A380" s="1" t="s">
        <v>10</v>
      </c>
      <c r="B380">
        <v>2</v>
      </c>
      <c r="C380">
        <v>30</v>
      </c>
      <c r="D380" s="1" t="s">
        <v>11</v>
      </c>
      <c r="E380">
        <v>0</v>
      </c>
      <c r="F380">
        <v>0</v>
      </c>
      <c r="G380" t="b">
        <f>OR(DM_Control_Error_Param__3[[#This Row],[aperture shift (% actuator pitch)]]&gt;10,DM_Control_Error_Param__3[[#This Row],[log-amplitude variance ]]&gt;0.1)</f>
        <v>0</v>
      </c>
    </row>
    <row r="381" spans="1:7" x14ac:dyDescent="0.25">
      <c r="A381" s="1" t="s">
        <v>10</v>
      </c>
      <c r="B381">
        <v>2</v>
      </c>
      <c r="C381">
        <v>45</v>
      </c>
      <c r="D381" s="1" t="s">
        <v>11</v>
      </c>
      <c r="E381">
        <v>0</v>
      </c>
      <c r="F381">
        <v>0</v>
      </c>
      <c r="G381" t="b">
        <f>OR(DM_Control_Error_Param__3[[#This Row],[aperture shift (% actuator pitch)]]&gt;10,DM_Control_Error_Param__3[[#This Row],[log-amplitude variance ]]&gt;0.1)</f>
        <v>0</v>
      </c>
    </row>
    <row r="382" spans="1:7" x14ac:dyDescent="0.25">
      <c r="A382" s="1" t="s">
        <v>10</v>
      </c>
      <c r="B382">
        <v>2</v>
      </c>
      <c r="C382">
        <v>60</v>
      </c>
      <c r="D382" s="1" t="s">
        <v>11</v>
      </c>
      <c r="E382">
        <v>0</v>
      </c>
      <c r="F382">
        <v>0</v>
      </c>
      <c r="G382" t="b">
        <f>OR(DM_Control_Error_Param__3[[#This Row],[aperture shift (% actuator pitch)]]&gt;10,DM_Control_Error_Param__3[[#This Row],[log-amplitude variance ]]&gt;0.1)</f>
        <v>0</v>
      </c>
    </row>
    <row r="383" spans="1:7" x14ac:dyDescent="0.25">
      <c r="A383" s="1" t="s">
        <v>10</v>
      </c>
      <c r="B383">
        <v>2</v>
      </c>
      <c r="C383">
        <v>70</v>
      </c>
      <c r="D383" s="1" t="s">
        <v>11</v>
      </c>
      <c r="E383">
        <v>0</v>
      </c>
      <c r="F383">
        <v>0</v>
      </c>
      <c r="G383" t="b">
        <f>OR(DM_Control_Error_Param__3[[#This Row],[aperture shift (% actuator pitch)]]&gt;10,DM_Control_Error_Param__3[[#This Row],[log-amplitude variance ]]&gt;0.1)</f>
        <v>0</v>
      </c>
    </row>
    <row r="384" spans="1:7" x14ac:dyDescent="0.25">
      <c r="A384" s="1" t="s">
        <v>10</v>
      </c>
      <c r="B384">
        <v>2</v>
      </c>
      <c r="C384">
        <v>80</v>
      </c>
      <c r="D384" s="1" t="s">
        <v>11</v>
      </c>
      <c r="E384">
        <v>0</v>
      </c>
      <c r="F384">
        <v>0</v>
      </c>
      <c r="G384" t="b">
        <f>OR(DM_Control_Error_Param__3[[#This Row],[aperture shift (% actuator pitch)]]&gt;10,DM_Control_Error_Param__3[[#This Row],[log-amplitude variance ]]&gt;0.1)</f>
        <v>0</v>
      </c>
    </row>
    <row r="385" spans="1:7" x14ac:dyDescent="0.25">
      <c r="A385" s="1" t="s">
        <v>17</v>
      </c>
      <c r="B385">
        <v>14</v>
      </c>
      <c r="C385">
        <v>0</v>
      </c>
      <c r="D385" s="1" t="s">
        <v>18</v>
      </c>
      <c r="E385">
        <v>0</v>
      </c>
      <c r="F385">
        <v>0</v>
      </c>
      <c r="G385" t="b">
        <f>OR(DM_Control_Error_Param__3[[#This Row],[aperture shift (% actuator pitch)]]&gt;10,DM_Control_Error_Param__3[[#This Row],[log-amplitude variance ]]&gt;0.1)</f>
        <v>0</v>
      </c>
    </row>
    <row r="386" spans="1:7" x14ac:dyDescent="0.25">
      <c r="A386" s="1" t="s">
        <v>17</v>
      </c>
      <c r="B386">
        <v>14</v>
      </c>
      <c r="C386">
        <v>30</v>
      </c>
      <c r="D386" s="1" t="s">
        <v>18</v>
      </c>
      <c r="E386">
        <v>0</v>
      </c>
      <c r="F386">
        <v>0</v>
      </c>
      <c r="G386" t="b">
        <f>OR(DM_Control_Error_Param__3[[#This Row],[aperture shift (% actuator pitch)]]&gt;10,DM_Control_Error_Param__3[[#This Row],[log-amplitude variance ]]&gt;0.1)</f>
        <v>0</v>
      </c>
    </row>
    <row r="387" spans="1:7" x14ac:dyDescent="0.25">
      <c r="A387" s="1" t="s">
        <v>17</v>
      </c>
      <c r="B387">
        <v>14</v>
      </c>
      <c r="C387">
        <v>45</v>
      </c>
      <c r="D387" s="1" t="s">
        <v>18</v>
      </c>
      <c r="E387">
        <v>0</v>
      </c>
      <c r="F387">
        <v>0</v>
      </c>
      <c r="G387" t="b">
        <f>OR(DM_Control_Error_Param__3[[#This Row],[aperture shift (% actuator pitch)]]&gt;10,DM_Control_Error_Param__3[[#This Row],[log-amplitude variance ]]&gt;0.1)</f>
        <v>0</v>
      </c>
    </row>
    <row r="388" spans="1:7" x14ac:dyDescent="0.25">
      <c r="A388" s="1" t="s">
        <v>17</v>
      </c>
      <c r="B388">
        <v>14</v>
      </c>
      <c r="C388">
        <v>60</v>
      </c>
      <c r="D388" s="1" t="s">
        <v>18</v>
      </c>
      <c r="E388">
        <v>0</v>
      </c>
      <c r="F388">
        <v>0</v>
      </c>
      <c r="G388" t="b">
        <f>OR(DM_Control_Error_Param__3[[#This Row],[aperture shift (% actuator pitch)]]&gt;10,DM_Control_Error_Param__3[[#This Row],[log-amplitude variance ]]&gt;0.1)</f>
        <v>0</v>
      </c>
    </row>
    <row r="389" spans="1:7" x14ac:dyDescent="0.25">
      <c r="A389" s="1" t="s">
        <v>17</v>
      </c>
      <c r="B389">
        <v>14</v>
      </c>
      <c r="C389">
        <v>70</v>
      </c>
      <c r="D389" s="1" t="s">
        <v>18</v>
      </c>
      <c r="E389">
        <v>0</v>
      </c>
      <c r="F389">
        <v>0</v>
      </c>
      <c r="G389" t="b">
        <f>OR(DM_Control_Error_Param__3[[#This Row],[aperture shift (% actuator pitch)]]&gt;10,DM_Control_Error_Param__3[[#This Row],[log-amplitude variance ]]&gt;0.1)</f>
        <v>0</v>
      </c>
    </row>
    <row r="390" spans="1:7" x14ac:dyDescent="0.25">
      <c r="A390" s="1" t="s">
        <v>17</v>
      </c>
      <c r="B390">
        <v>14</v>
      </c>
      <c r="C390">
        <v>80</v>
      </c>
      <c r="D390" s="1" t="s">
        <v>18</v>
      </c>
      <c r="E390">
        <v>0</v>
      </c>
      <c r="F390">
        <v>0</v>
      </c>
      <c r="G390" t="b">
        <f>OR(DM_Control_Error_Param__3[[#This Row],[aperture shift (% actuator pitch)]]&gt;10,DM_Control_Error_Param__3[[#This Row],[log-amplitude variance ]]&gt;0.1)</f>
        <v>0</v>
      </c>
    </row>
    <row r="391" spans="1:7" x14ac:dyDescent="0.25">
      <c r="A391" s="1" t="s">
        <v>17</v>
      </c>
      <c r="B391">
        <v>11</v>
      </c>
      <c r="C391">
        <v>0</v>
      </c>
      <c r="D391" s="1" t="s">
        <v>18</v>
      </c>
      <c r="E391">
        <v>0</v>
      </c>
      <c r="F391">
        <v>0</v>
      </c>
      <c r="G391" t="b">
        <f>OR(DM_Control_Error_Param__3[[#This Row],[aperture shift (% actuator pitch)]]&gt;10,DM_Control_Error_Param__3[[#This Row],[log-amplitude variance ]]&gt;0.1)</f>
        <v>0</v>
      </c>
    </row>
    <row r="392" spans="1:7" x14ac:dyDescent="0.25">
      <c r="A392" s="1" t="s">
        <v>17</v>
      </c>
      <c r="B392">
        <v>11</v>
      </c>
      <c r="C392">
        <v>30</v>
      </c>
      <c r="D392" s="1" t="s">
        <v>18</v>
      </c>
      <c r="E392">
        <v>0</v>
      </c>
      <c r="F392">
        <v>0</v>
      </c>
      <c r="G392" t="b">
        <f>OR(DM_Control_Error_Param__3[[#This Row],[aperture shift (% actuator pitch)]]&gt;10,DM_Control_Error_Param__3[[#This Row],[log-amplitude variance ]]&gt;0.1)</f>
        <v>0</v>
      </c>
    </row>
    <row r="393" spans="1:7" x14ac:dyDescent="0.25">
      <c r="A393" s="1" t="s">
        <v>17</v>
      </c>
      <c r="B393">
        <v>11</v>
      </c>
      <c r="C393">
        <v>45</v>
      </c>
      <c r="D393" s="1" t="s">
        <v>18</v>
      </c>
      <c r="E393">
        <v>0</v>
      </c>
      <c r="F393">
        <v>0</v>
      </c>
      <c r="G393" t="b">
        <f>OR(DM_Control_Error_Param__3[[#This Row],[aperture shift (% actuator pitch)]]&gt;10,DM_Control_Error_Param__3[[#This Row],[log-amplitude variance ]]&gt;0.1)</f>
        <v>0</v>
      </c>
    </row>
    <row r="394" spans="1:7" x14ac:dyDescent="0.25">
      <c r="A394" s="1" t="s">
        <v>17</v>
      </c>
      <c r="B394">
        <v>11</v>
      </c>
      <c r="C394">
        <v>60</v>
      </c>
      <c r="D394" s="1" t="s">
        <v>18</v>
      </c>
      <c r="E394">
        <v>0</v>
      </c>
      <c r="F394">
        <v>0</v>
      </c>
      <c r="G394" t="b">
        <f>OR(DM_Control_Error_Param__3[[#This Row],[aperture shift (% actuator pitch)]]&gt;10,DM_Control_Error_Param__3[[#This Row],[log-amplitude variance ]]&gt;0.1)</f>
        <v>0</v>
      </c>
    </row>
    <row r="395" spans="1:7" x14ac:dyDescent="0.25">
      <c r="A395" s="1" t="s">
        <v>17</v>
      </c>
      <c r="B395">
        <v>11</v>
      </c>
      <c r="C395">
        <v>70</v>
      </c>
      <c r="D395" s="1" t="s">
        <v>18</v>
      </c>
      <c r="E395">
        <v>0</v>
      </c>
      <c r="F395">
        <v>0</v>
      </c>
      <c r="G395" t="b">
        <f>OR(DM_Control_Error_Param__3[[#This Row],[aperture shift (% actuator pitch)]]&gt;10,DM_Control_Error_Param__3[[#This Row],[log-amplitude variance ]]&gt;0.1)</f>
        <v>0</v>
      </c>
    </row>
    <row r="396" spans="1:7" x14ac:dyDescent="0.25">
      <c r="A396" s="1" t="s">
        <v>17</v>
      </c>
      <c r="B396">
        <v>11</v>
      </c>
      <c r="C396">
        <v>80</v>
      </c>
      <c r="D396" s="1" t="s">
        <v>18</v>
      </c>
      <c r="E396">
        <v>0</v>
      </c>
      <c r="F396">
        <v>0</v>
      </c>
      <c r="G396" t="b">
        <f>OR(DM_Control_Error_Param__3[[#This Row],[aperture shift (% actuator pitch)]]&gt;10,DM_Control_Error_Param__3[[#This Row],[log-amplitude variance ]]&gt;0.1)</f>
        <v>0</v>
      </c>
    </row>
    <row r="397" spans="1:7" x14ac:dyDescent="0.25">
      <c r="A397" s="1" t="s">
        <v>17</v>
      </c>
      <c r="B397">
        <v>8</v>
      </c>
      <c r="C397">
        <v>0</v>
      </c>
      <c r="D397" s="1" t="s">
        <v>18</v>
      </c>
      <c r="E397">
        <v>0</v>
      </c>
      <c r="F397">
        <v>0</v>
      </c>
      <c r="G397" t="b">
        <f>OR(DM_Control_Error_Param__3[[#This Row],[aperture shift (% actuator pitch)]]&gt;10,DM_Control_Error_Param__3[[#This Row],[log-amplitude variance ]]&gt;0.1)</f>
        <v>0</v>
      </c>
    </row>
    <row r="398" spans="1:7" x14ac:dyDescent="0.25">
      <c r="A398" s="1" t="s">
        <v>17</v>
      </c>
      <c r="B398">
        <v>8</v>
      </c>
      <c r="C398">
        <v>30</v>
      </c>
      <c r="D398" s="1" t="s">
        <v>18</v>
      </c>
      <c r="E398">
        <v>0</v>
      </c>
      <c r="F398">
        <v>0</v>
      </c>
      <c r="G398" t="b">
        <f>OR(DM_Control_Error_Param__3[[#This Row],[aperture shift (% actuator pitch)]]&gt;10,DM_Control_Error_Param__3[[#This Row],[log-amplitude variance ]]&gt;0.1)</f>
        <v>0</v>
      </c>
    </row>
    <row r="399" spans="1:7" x14ac:dyDescent="0.25">
      <c r="A399" s="1" t="s">
        <v>17</v>
      </c>
      <c r="B399">
        <v>8</v>
      </c>
      <c r="C399">
        <v>45</v>
      </c>
      <c r="D399" s="1" t="s">
        <v>18</v>
      </c>
      <c r="E399">
        <v>0</v>
      </c>
      <c r="F399">
        <v>0</v>
      </c>
      <c r="G399" t="b">
        <f>OR(DM_Control_Error_Param__3[[#This Row],[aperture shift (% actuator pitch)]]&gt;10,DM_Control_Error_Param__3[[#This Row],[log-amplitude variance ]]&gt;0.1)</f>
        <v>0</v>
      </c>
    </row>
    <row r="400" spans="1:7" x14ac:dyDescent="0.25">
      <c r="A400" s="1" t="s">
        <v>17</v>
      </c>
      <c r="B400">
        <v>8</v>
      </c>
      <c r="C400">
        <v>60</v>
      </c>
      <c r="D400" s="1" t="s">
        <v>18</v>
      </c>
      <c r="E400">
        <v>0</v>
      </c>
      <c r="F400">
        <v>0</v>
      </c>
      <c r="G400" t="b">
        <f>OR(DM_Control_Error_Param__3[[#This Row],[aperture shift (% actuator pitch)]]&gt;10,DM_Control_Error_Param__3[[#This Row],[log-amplitude variance ]]&gt;0.1)</f>
        <v>0</v>
      </c>
    </row>
    <row r="401" spans="1:7" x14ac:dyDescent="0.25">
      <c r="A401" s="1" t="s">
        <v>17</v>
      </c>
      <c r="B401">
        <v>8</v>
      </c>
      <c r="C401">
        <v>70</v>
      </c>
      <c r="D401" s="1" t="s">
        <v>18</v>
      </c>
      <c r="E401">
        <v>0</v>
      </c>
      <c r="F401">
        <v>0</v>
      </c>
      <c r="G401" t="b">
        <f>OR(DM_Control_Error_Param__3[[#This Row],[aperture shift (% actuator pitch)]]&gt;10,DM_Control_Error_Param__3[[#This Row],[log-amplitude variance ]]&gt;0.1)</f>
        <v>0</v>
      </c>
    </row>
    <row r="402" spans="1:7" x14ac:dyDescent="0.25">
      <c r="A402" s="1" t="s">
        <v>17</v>
      </c>
      <c r="B402">
        <v>8</v>
      </c>
      <c r="C402">
        <v>80</v>
      </c>
      <c r="D402" s="1" t="s">
        <v>18</v>
      </c>
      <c r="E402">
        <v>0</v>
      </c>
      <c r="F402">
        <v>0</v>
      </c>
      <c r="G402" t="b">
        <f>OR(DM_Control_Error_Param__3[[#This Row],[aperture shift (% actuator pitch)]]&gt;10,DM_Control_Error_Param__3[[#This Row],[log-amplitude variance ]]&gt;0.1)</f>
        <v>0</v>
      </c>
    </row>
    <row r="403" spans="1:7" x14ac:dyDescent="0.25">
      <c r="A403" s="1" t="s">
        <v>17</v>
      </c>
      <c r="B403">
        <v>5</v>
      </c>
      <c r="C403">
        <v>0</v>
      </c>
      <c r="D403" s="1" t="s">
        <v>18</v>
      </c>
      <c r="E403">
        <v>0</v>
      </c>
      <c r="F403">
        <v>0</v>
      </c>
      <c r="G403" t="b">
        <f>OR(DM_Control_Error_Param__3[[#This Row],[aperture shift (% actuator pitch)]]&gt;10,DM_Control_Error_Param__3[[#This Row],[log-amplitude variance ]]&gt;0.1)</f>
        <v>0</v>
      </c>
    </row>
    <row r="404" spans="1:7" x14ac:dyDescent="0.25">
      <c r="A404" s="1" t="s">
        <v>17</v>
      </c>
      <c r="B404">
        <v>5</v>
      </c>
      <c r="C404">
        <v>30</v>
      </c>
      <c r="D404" s="1" t="s">
        <v>18</v>
      </c>
      <c r="E404">
        <v>0</v>
      </c>
      <c r="F404">
        <v>0</v>
      </c>
      <c r="G404" t="b">
        <f>OR(DM_Control_Error_Param__3[[#This Row],[aperture shift (% actuator pitch)]]&gt;10,DM_Control_Error_Param__3[[#This Row],[log-amplitude variance ]]&gt;0.1)</f>
        <v>0</v>
      </c>
    </row>
    <row r="405" spans="1:7" x14ac:dyDescent="0.25">
      <c r="A405" s="1" t="s">
        <v>17</v>
      </c>
      <c r="B405">
        <v>5</v>
      </c>
      <c r="C405">
        <v>45</v>
      </c>
      <c r="D405" s="1" t="s">
        <v>18</v>
      </c>
      <c r="E405">
        <v>0</v>
      </c>
      <c r="F405">
        <v>0</v>
      </c>
      <c r="G405" t="b">
        <f>OR(DM_Control_Error_Param__3[[#This Row],[aperture shift (% actuator pitch)]]&gt;10,DM_Control_Error_Param__3[[#This Row],[log-amplitude variance ]]&gt;0.1)</f>
        <v>0</v>
      </c>
    </row>
    <row r="406" spans="1:7" x14ac:dyDescent="0.25">
      <c r="A406" s="1" t="s">
        <v>17</v>
      </c>
      <c r="B406">
        <v>5</v>
      </c>
      <c r="C406">
        <v>60</v>
      </c>
      <c r="D406" s="1" t="s">
        <v>18</v>
      </c>
      <c r="E406">
        <v>0</v>
      </c>
      <c r="F406">
        <v>0</v>
      </c>
      <c r="G406" t="b">
        <f>OR(DM_Control_Error_Param__3[[#This Row],[aperture shift (% actuator pitch)]]&gt;10,DM_Control_Error_Param__3[[#This Row],[log-amplitude variance ]]&gt;0.1)</f>
        <v>0</v>
      </c>
    </row>
    <row r="407" spans="1:7" x14ac:dyDescent="0.25">
      <c r="A407" s="1" t="s">
        <v>17</v>
      </c>
      <c r="B407">
        <v>5</v>
      </c>
      <c r="C407">
        <v>70</v>
      </c>
      <c r="D407" s="1" t="s">
        <v>18</v>
      </c>
      <c r="E407">
        <v>0</v>
      </c>
      <c r="F407">
        <v>0</v>
      </c>
      <c r="G407" t="b">
        <f>OR(DM_Control_Error_Param__3[[#This Row],[aperture shift (% actuator pitch)]]&gt;10,DM_Control_Error_Param__3[[#This Row],[log-amplitude variance ]]&gt;0.1)</f>
        <v>0</v>
      </c>
    </row>
    <row r="408" spans="1:7" x14ac:dyDescent="0.25">
      <c r="A408" s="1" t="s">
        <v>17</v>
      </c>
      <c r="B408">
        <v>5</v>
      </c>
      <c r="C408">
        <v>80</v>
      </c>
      <c r="D408" s="1" t="s">
        <v>18</v>
      </c>
      <c r="E408">
        <v>0</v>
      </c>
      <c r="F408">
        <v>0</v>
      </c>
      <c r="G408" t="b">
        <f>OR(DM_Control_Error_Param__3[[#This Row],[aperture shift (% actuator pitch)]]&gt;10,DM_Control_Error_Param__3[[#This Row],[log-amplitude variance ]]&gt;0.1)</f>
        <v>0</v>
      </c>
    </row>
    <row r="409" spans="1:7" x14ac:dyDescent="0.25">
      <c r="A409" s="1" t="s">
        <v>17</v>
      </c>
      <c r="B409">
        <v>3</v>
      </c>
      <c r="C409">
        <v>0</v>
      </c>
      <c r="D409" s="1" t="s">
        <v>18</v>
      </c>
      <c r="E409">
        <v>0</v>
      </c>
      <c r="F409">
        <v>0</v>
      </c>
      <c r="G409" t="b">
        <f>OR(DM_Control_Error_Param__3[[#This Row],[aperture shift (% actuator pitch)]]&gt;10,DM_Control_Error_Param__3[[#This Row],[log-amplitude variance ]]&gt;0.1)</f>
        <v>0</v>
      </c>
    </row>
    <row r="410" spans="1:7" x14ac:dyDescent="0.25">
      <c r="A410" s="1" t="s">
        <v>17</v>
      </c>
      <c r="B410">
        <v>3</v>
      </c>
      <c r="C410">
        <v>30</v>
      </c>
      <c r="D410" s="1" t="s">
        <v>18</v>
      </c>
      <c r="E410">
        <v>0</v>
      </c>
      <c r="F410">
        <v>0</v>
      </c>
      <c r="G410" t="b">
        <f>OR(DM_Control_Error_Param__3[[#This Row],[aperture shift (% actuator pitch)]]&gt;10,DM_Control_Error_Param__3[[#This Row],[log-amplitude variance ]]&gt;0.1)</f>
        <v>0</v>
      </c>
    </row>
    <row r="411" spans="1:7" x14ac:dyDescent="0.25">
      <c r="A411" s="1" t="s">
        <v>17</v>
      </c>
      <c r="B411">
        <v>3</v>
      </c>
      <c r="C411">
        <v>45</v>
      </c>
      <c r="D411" s="1" t="s">
        <v>18</v>
      </c>
      <c r="E411">
        <v>0</v>
      </c>
      <c r="F411">
        <v>0</v>
      </c>
      <c r="G411" t="b">
        <f>OR(DM_Control_Error_Param__3[[#This Row],[aperture shift (% actuator pitch)]]&gt;10,DM_Control_Error_Param__3[[#This Row],[log-amplitude variance ]]&gt;0.1)</f>
        <v>0</v>
      </c>
    </row>
    <row r="412" spans="1:7" x14ac:dyDescent="0.25">
      <c r="A412" s="1" t="s">
        <v>17</v>
      </c>
      <c r="B412">
        <v>3</v>
      </c>
      <c r="C412">
        <v>60</v>
      </c>
      <c r="D412" s="1" t="s">
        <v>18</v>
      </c>
      <c r="E412">
        <v>0</v>
      </c>
      <c r="F412">
        <v>0</v>
      </c>
      <c r="G412" t="b">
        <f>OR(DM_Control_Error_Param__3[[#This Row],[aperture shift (% actuator pitch)]]&gt;10,DM_Control_Error_Param__3[[#This Row],[log-amplitude variance ]]&gt;0.1)</f>
        <v>0</v>
      </c>
    </row>
    <row r="413" spans="1:7" x14ac:dyDescent="0.25">
      <c r="A413" s="1" t="s">
        <v>17</v>
      </c>
      <c r="B413">
        <v>3</v>
      </c>
      <c r="C413">
        <v>70</v>
      </c>
      <c r="D413" s="1" t="s">
        <v>18</v>
      </c>
      <c r="E413">
        <v>0</v>
      </c>
      <c r="F413">
        <v>0</v>
      </c>
      <c r="G413" t="b">
        <f>OR(DM_Control_Error_Param__3[[#This Row],[aperture shift (% actuator pitch)]]&gt;10,DM_Control_Error_Param__3[[#This Row],[log-amplitude variance ]]&gt;0.1)</f>
        <v>0</v>
      </c>
    </row>
    <row r="414" spans="1:7" x14ac:dyDescent="0.25">
      <c r="A414" s="1" t="s">
        <v>17</v>
      </c>
      <c r="B414">
        <v>3</v>
      </c>
      <c r="C414">
        <v>80</v>
      </c>
      <c r="D414" s="1" t="s">
        <v>18</v>
      </c>
      <c r="E414">
        <v>0</v>
      </c>
      <c r="F414">
        <v>0</v>
      </c>
      <c r="G414" t="b">
        <f>OR(DM_Control_Error_Param__3[[#This Row],[aperture shift (% actuator pitch)]]&gt;10,DM_Control_Error_Param__3[[#This Row],[log-amplitude variance ]]&gt;0.1)</f>
        <v>0</v>
      </c>
    </row>
    <row r="415" spans="1:7" x14ac:dyDescent="0.25">
      <c r="A415" s="1" t="s">
        <v>17</v>
      </c>
      <c r="B415">
        <v>2</v>
      </c>
      <c r="C415">
        <v>0</v>
      </c>
      <c r="D415" s="1" t="s">
        <v>18</v>
      </c>
      <c r="E415">
        <v>0</v>
      </c>
      <c r="F415">
        <v>0</v>
      </c>
      <c r="G415" t="b">
        <f>OR(DM_Control_Error_Param__3[[#This Row],[aperture shift (% actuator pitch)]]&gt;10,DM_Control_Error_Param__3[[#This Row],[log-amplitude variance ]]&gt;0.1)</f>
        <v>0</v>
      </c>
    </row>
    <row r="416" spans="1:7" x14ac:dyDescent="0.25">
      <c r="A416" s="1" t="s">
        <v>17</v>
      </c>
      <c r="B416">
        <v>2</v>
      </c>
      <c r="C416">
        <v>30</v>
      </c>
      <c r="D416" s="1" t="s">
        <v>18</v>
      </c>
      <c r="E416">
        <v>0</v>
      </c>
      <c r="F416">
        <v>0</v>
      </c>
      <c r="G416" t="b">
        <f>OR(DM_Control_Error_Param__3[[#This Row],[aperture shift (% actuator pitch)]]&gt;10,DM_Control_Error_Param__3[[#This Row],[log-amplitude variance ]]&gt;0.1)</f>
        <v>0</v>
      </c>
    </row>
    <row r="417" spans="1:7" x14ac:dyDescent="0.25">
      <c r="A417" s="1" t="s">
        <v>17</v>
      </c>
      <c r="B417">
        <v>2</v>
      </c>
      <c r="C417">
        <v>45</v>
      </c>
      <c r="D417" s="1" t="s">
        <v>18</v>
      </c>
      <c r="E417">
        <v>0</v>
      </c>
      <c r="F417">
        <v>0</v>
      </c>
      <c r="G417" t="b">
        <f>OR(DM_Control_Error_Param__3[[#This Row],[aperture shift (% actuator pitch)]]&gt;10,DM_Control_Error_Param__3[[#This Row],[log-amplitude variance ]]&gt;0.1)</f>
        <v>0</v>
      </c>
    </row>
    <row r="418" spans="1:7" x14ac:dyDescent="0.25">
      <c r="A418" s="1" t="s">
        <v>17</v>
      </c>
      <c r="B418">
        <v>2</v>
      </c>
      <c r="C418">
        <v>60</v>
      </c>
      <c r="D418" s="1" t="s">
        <v>18</v>
      </c>
      <c r="E418">
        <v>0</v>
      </c>
      <c r="F418">
        <v>0</v>
      </c>
      <c r="G418" t="b">
        <f>OR(DM_Control_Error_Param__3[[#This Row],[aperture shift (% actuator pitch)]]&gt;10,DM_Control_Error_Param__3[[#This Row],[log-amplitude variance ]]&gt;0.1)</f>
        <v>0</v>
      </c>
    </row>
    <row r="419" spans="1:7" x14ac:dyDescent="0.25">
      <c r="A419" s="1" t="s">
        <v>17</v>
      </c>
      <c r="B419">
        <v>2</v>
      </c>
      <c r="C419">
        <v>70</v>
      </c>
      <c r="D419" s="1" t="s">
        <v>18</v>
      </c>
      <c r="E419">
        <v>0</v>
      </c>
      <c r="F419">
        <v>0</v>
      </c>
      <c r="G419" t="b">
        <f>OR(DM_Control_Error_Param__3[[#This Row],[aperture shift (% actuator pitch)]]&gt;10,DM_Control_Error_Param__3[[#This Row],[log-amplitude variance ]]&gt;0.1)</f>
        <v>0</v>
      </c>
    </row>
    <row r="420" spans="1:7" x14ac:dyDescent="0.25">
      <c r="A420" s="1" t="s">
        <v>17</v>
      </c>
      <c r="B420">
        <v>2</v>
      </c>
      <c r="C420">
        <v>80</v>
      </c>
      <c r="D420" s="1" t="s">
        <v>18</v>
      </c>
      <c r="E420">
        <v>0</v>
      </c>
      <c r="F420">
        <v>0</v>
      </c>
      <c r="G420" t="b">
        <f>OR(DM_Control_Error_Param__3[[#This Row],[aperture shift (% actuator pitch)]]&gt;10,DM_Control_Error_Param__3[[#This Row],[log-amplitude variance ]]&gt;0.1)</f>
        <v>0</v>
      </c>
    </row>
    <row r="421" spans="1:7" x14ac:dyDescent="0.25">
      <c r="A421" s="1" t="s">
        <v>22</v>
      </c>
      <c r="B421">
        <v>14</v>
      </c>
      <c r="C421">
        <v>0</v>
      </c>
      <c r="D421" s="1" t="s">
        <v>23</v>
      </c>
      <c r="E421">
        <v>0</v>
      </c>
      <c r="F421">
        <v>0</v>
      </c>
      <c r="G421" t="b">
        <f>OR(DM_Control_Error_Param__3[[#This Row],[aperture shift (% actuator pitch)]]&gt;10,DM_Control_Error_Param__3[[#This Row],[log-amplitude variance ]]&gt;0.1)</f>
        <v>0</v>
      </c>
    </row>
    <row r="422" spans="1:7" x14ac:dyDescent="0.25">
      <c r="A422" s="1" t="s">
        <v>22</v>
      </c>
      <c r="B422">
        <v>14</v>
      </c>
      <c r="C422">
        <v>30</v>
      </c>
      <c r="D422" s="1" t="s">
        <v>23</v>
      </c>
      <c r="E422">
        <v>0</v>
      </c>
      <c r="F422">
        <v>0</v>
      </c>
      <c r="G422" t="b">
        <f>OR(DM_Control_Error_Param__3[[#This Row],[aperture shift (% actuator pitch)]]&gt;10,DM_Control_Error_Param__3[[#This Row],[log-amplitude variance ]]&gt;0.1)</f>
        <v>0</v>
      </c>
    </row>
    <row r="423" spans="1:7" x14ac:dyDescent="0.25">
      <c r="A423" s="1" t="s">
        <v>22</v>
      </c>
      <c r="B423">
        <v>14</v>
      </c>
      <c r="C423">
        <v>45</v>
      </c>
      <c r="D423" s="1" t="s">
        <v>23</v>
      </c>
      <c r="E423">
        <v>0</v>
      </c>
      <c r="F423">
        <v>0</v>
      </c>
      <c r="G423" t="b">
        <f>OR(DM_Control_Error_Param__3[[#This Row],[aperture shift (% actuator pitch)]]&gt;10,DM_Control_Error_Param__3[[#This Row],[log-amplitude variance ]]&gt;0.1)</f>
        <v>0</v>
      </c>
    </row>
    <row r="424" spans="1:7" x14ac:dyDescent="0.25">
      <c r="A424" s="1" t="s">
        <v>22</v>
      </c>
      <c r="B424">
        <v>14</v>
      </c>
      <c r="C424">
        <v>60</v>
      </c>
      <c r="D424" s="1" t="s">
        <v>23</v>
      </c>
      <c r="E424">
        <v>0</v>
      </c>
      <c r="F424">
        <v>0</v>
      </c>
      <c r="G424" t="b">
        <f>OR(DM_Control_Error_Param__3[[#This Row],[aperture shift (% actuator pitch)]]&gt;10,DM_Control_Error_Param__3[[#This Row],[log-amplitude variance ]]&gt;0.1)</f>
        <v>0</v>
      </c>
    </row>
    <row r="425" spans="1:7" x14ac:dyDescent="0.25">
      <c r="A425" s="1" t="s">
        <v>22</v>
      </c>
      <c r="B425">
        <v>14</v>
      </c>
      <c r="C425">
        <v>70</v>
      </c>
      <c r="D425" s="1" t="s">
        <v>23</v>
      </c>
      <c r="E425">
        <v>0</v>
      </c>
      <c r="F425">
        <v>0</v>
      </c>
      <c r="G425" t="b">
        <f>OR(DM_Control_Error_Param__3[[#This Row],[aperture shift (% actuator pitch)]]&gt;10,DM_Control_Error_Param__3[[#This Row],[log-amplitude variance ]]&gt;0.1)</f>
        <v>0</v>
      </c>
    </row>
    <row r="426" spans="1:7" x14ac:dyDescent="0.25">
      <c r="A426" s="1" t="s">
        <v>22</v>
      </c>
      <c r="B426">
        <v>14</v>
      </c>
      <c r="C426">
        <v>80</v>
      </c>
      <c r="D426" s="1" t="s">
        <v>23</v>
      </c>
      <c r="E426">
        <v>0</v>
      </c>
      <c r="F426">
        <v>0</v>
      </c>
      <c r="G426" t="b">
        <f>OR(DM_Control_Error_Param__3[[#This Row],[aperture shift (% actuator pitch)]]&gt;10,DM_Control_Error_Param__3[[#This Row],[log-amplitude variance ]]&gt;0.1)</f>
        <v>0</v>
      </c>
    </row>
    <row r="427" spans="1:7" x14ac:dyDescent="0.25">
      <c r="A427" s="1" t="s">
        <v>22</v>
      </c>
      <c r="B427">
        <v>11</v>
      </c>
      <c r="C427">
        <v>0</v>
      </c>
      <c r="D427" s="1" t="s">
        <v>23</v>
      </c>
      <c r="E427">
        <v>0</v>
      </c>
      <c r="F427">
        <v>0</v>
      </c>
      <c r="G427" t="b">
        <f>OR(DM_Control_Error_Param__3[[#This Row],[aperture shift (% actuator pitch)]]&gt;10,DM_Control_Error_Param__3[[#This Row],[log-amplitude variance ]]&gt;0.1)</f>
        <v>0</v>
      </c>
    </row>
    <row r="428" spans="1:7" x14ac:dyDescent="0.25">
      <c r="A428" s="1" t="s">
        <v>22</v>
      </c>
      <c r="B428">
        <v>11</v>
      </c>
      <c r="C428">
        <v>30</v>
      </c>
      <c r="D428" s="1" t="s">
        <v>23</v>
      </c>
      <c r="E428">
        <v>0</v>
      </c>
      <c r="F428">
        <v>0</v>
      </c>
      <c r="G428" t="b">
        <f>OR(DM_Control_Error_Param__3[[#This Row],[aperture shift (% actuator pitch)]]&gt;10,DM_Control_Error_Param__3[[#This Row],[log-amplitude variance ]]&gt;0.1)</f>
        <v>0</v>
      </c>
    </row>
    <row r="429" spans="1:7" x14ac:dyDescent="0.25">
      <c r="A429" s="1" t="s">
        <v>22</v>
      </c>
      <c r="B429">
        <v>11</v>
      </c>
      <c r="C429">
        <v>45</v>
      </c>
      <c r="D429" s="1" t="s">
        <v>23</v>
      </c>
      <c r="E429">
        <v>0</v>
      </c>
      <c r="F429">
        <v>0</v>
      </c>
      <c r="G429" t="b">
        <f>OR(DM_Control_Error_Param__3[[#This Row],[aperture shift (% actuator pitch)]]&gt;10,DM_Control_Error_Param__3[[#This Row],[log-amplitude variance ]]&gt;0.1)</f>
        <v>0</v>
      </c>
    </row>
    <row r="430" spans="1:7" x14ac:dyDescent="0.25">
      <c r="A430" s="1" t="s">
        <v>22</v>
      </c>
      <c r="B430">
        <v>11</v>
      </c>
      <c r="C430">
        <v>60</v>
      </c>
      <c r="D430" s="1" t="s">
        <v>23</v>
      </c>
      <c r="E430">
        <v>0</v>
      </c>
      <c r="F430">
        <v>0</v>
      </c>
      <c r="G430" t="b">
        <f>OR(DM_Control_Error_Param__3[[#This Row],[aperture shift (% actuator pitch)]]&gt;10,DM_Control_Error_Param__3[[#This Row],[log-amplitude variance ]]&gt;0.1)</f>
        <v>0</v>
      </c>
    </row>
    <row r="431" spans="1:7" x14ac:dyDescent="0.25">
      <c r="A431" s="1" t="s">
        <v>22</v>
      </c>
      <c r="B431">
        <v>11</v>
      </c>
      <c r="C431">
        <v>70</v>
      </c>
      <c r="D431" s="1" t="s">
        <v>23</v>
      </c>
      <c r="E431">
        <v>0</v>
      </c>
      <c r="F431">
        <v>0</v>
      </c>
      <c r="G431" t="b">
        <f>OR(DM_Control_Error_Param__3[[#This Row],[aperture shift (% actuator pitch)]]&gt;10,DM_Control_Error_Param__3[[#This Row],[log-amplitude variance ]]&gt;0.1)</f>
        <v>0</v>
      </c>
    </row>
    <row r="432" spans="1:7" x14ac:dyDescent="0.25">
      <c r="A432" s="1" t="s">
        <v>22</v>
      </c>
      <c r="B432">
        <v>11</v>
      </c>
      <c r="C432">
        <v>80</v>
      </c>
      <c r="D432" s="1" t="s">
        <v>23</v>
      </c>
      <c r="E432">
        <v>0</v>
      </c>
      <c r="F432">
        <v>0</v>
      </c>
      <c r="G432" t="b">
        <f>OR(DM_Control_Error_Param__3[[#This Row],[aperture shift (% actuator pitch)]]&gt;10,DM_Control_Error_Param__3[[#This Row],[log-amplitude variance ]]&gt;0.1)</f>
        <v>0</v>
      </c>
    </row>
    <row r="433" spans="1:7" x14ac:dyDescent="0.25">
      <c r="A433" s="1" t="s">
        <v>22</v>
      </c>
      <c r="B433">
        <v>8</v>
      </c>
      <c r="C433">
        <v>0</v>
      </c>
      <c r="D433" s="1" t="s">
        <v>23</v>
      </c>
      <c r="E433">
        <v>0</v>
      </c>
      <c r="F433">
        <v>0</v>
      </c>
      <c r="G433" t="b">
        <f>OR(DM_Control_Error_Param__3[[#This Row],[aperture shift (% actuator pitch)]]&gt;10,DM_Control_Error_Param__3[[#This Row],[log-amplitude variance ]]&gt;0.1)</f>
        <v>0</v>
      </c>
    </row>
    <row r="434" spans="1:7" x14ac:dyDescent="0.25">
      <c r="A434" s="1" t="s">
        <v>22</v>
      </c>
      <c r="B434">
        <v>8</v>
      </c>
      <c r="C434">
        <v>30</v>
      </c>
      <c r="D434" s="1" t="s">
        <v>23</v>
      </c>
      <c r="E434">
        <v>0</v>
      </c>
      <c r="F434">
        <v>0</v>
      </c>
      <c r="G434" t="b">
        <f>OR(DM_Control_Error_Param__3[[#This Row],[aperture shift (% actuator pitch)]]&gt;10,DM_Control_Error_Param__3[[#This Row],[log-amplitude variance ]]&gt;0.1)</f>
        <v>0</v>
      </c>
    </row>
    <row r="435" spans="1:7" x14ac:dyDescent="0.25">
      <c r="A435" s="1" t="s">
        <v>22</v>
      </c>
      <c r="B435">
        <v>8</v>
      </c>
      <c r="C435">
        <v>45</v>
      </c>
      <c r="D435" s="1" t="s">
        <v>23</v>
      </c>
      <c r="E435">
        <v>0</v>
      </c>
      <c r="F435">
        <v>0</v>
      </c>
      <c r="G435" t="b">
        <f>OR(DM_Control_Error_Param__3[[#This Row],[aperture shift (% actuator pitch)]]&gt;10,DM_Control_Error_Param__3[[#This Row],[log-amplitude variance ]]&gt;0.1)</f>
        <v>0</v>
      </c>
    </row>
    <row r="436" spans="1:7" x14ac:dyDescent="0.25">
      <c r="A436" s="1" t="s">
        <v>22</v>
      </c>
      <c r="B436">
        <v>8</v>
      </c>
      <c r="C436">
        <v>60</v>
      </c>
      <c r="D436" s="1" t="s">
        <v>23</v>
      </c>
      <c r="E436">
        <v>0</v>
      </c>
      <c r="F436">
        <v>0</v>
      </c>
      <c r="G436" t="b">
        <f>OR(DM_Control_Error_Param__3[[#This Row],[aperture shift (% actuator pitch)]]&gt;10,DM_Control_Error_Param__3[[#This Row],[log-amplitude variance ]]&gt;0.1)</f>
        <v>0</v>
      </c>
    </row>
    <row r="437" spans="1:7" x14ac:dyDescent="0.25">
      <c r="A437" s="1" t="s">
        <v>22</v>
      </c>
      <c r="B437">
        <v>8</v>
      </c>
      <c r="C437">
        <v>70</v>
      </c>
      <c r="D437" s="1" t="s">
        <v>23</v>
      </c>
      <c r="E437">
        <v>0</v>
      </c>
      <c r="F437">
        <v>0</v>
      </c>
      <c r="G437" t="b">
        <f>OR(DM_Control_Error_Param__3[[#This Row],[aperture shift (% actuator pitch)]]&gt;10,DM_Control_Error_Param__3[[#This Row],[log-amplitude variance ]]&gt;0.1)</f>
        <v>0</v>
      </c>
    </row>
    <row r="438" spans="1:7" x14ac:dyDescent="0.25">
      <c r="A438" s="1" t="s">
        <v>22</v>
      </c>
      <c r="B438">
        <v>8</v>
      </c>
      <c r="C438">
        <v>80</v>
      </c>
      <c r="D438" s="1" t="s">
        <v>23</v>
      </c>
      <c r="E438">
        <v>0</v>
      </c>
      <c r="F438">
        <v>0</v>
      </c>
      <c r="G438" t="b">
        <f>OR(DM_Control_Error_Param__3[[#This Row],[aperture shift (% actuator pitch)]]&gt;10,DM_Control_Error_Param__3[[#This Row],[log-amplitude variance ]]&gt;0.1)</f>
        <v>0</v>
      </c>
    </row>
    <row r="439" spans="1:7" x14ac:dyDescent="0.25">
      <c r="A439" s="1" t="s">
        <v>22</v>
      </c>
      <c r="B439">
        <v>5</v>
      </c>
      <c r="C439">
        <v>0</v>
      </c>
      <c r="D439" s="1" t="s">
        <v>23</v>
      </c>
      <c r="E439">
        <v>0</v>
      </c>
      <c r="F439">
        <v>0</v>
      </c>
      <c r="G439" t="b">
        <f>OR(DM_Control_Error_Param__3[[#This Row],[aperture shift (% actuator pitch)]]&gt;10,DM_Control_Error_Param__3[[#This Row],[log-amplitude variance ]]&gt;0.1)</f>
        <v>0</v>
      </c>
    </row>
    <row r="440" spans="1:7" x14ac:dyDescent="0.25">
      <c r="A440" s="1" t="s">
        <v>22</v>
      </c>
      <c r="B440">
        <v>5</v>
      </c>
      <c r="C440">
        <v>30</v>
      </c>
      <c r="D440" s="1" t="s">
        <v>23</v>
      </c>
      <c r="E440">
        <v>0</v>
      </c>
      <c r="F440">
        <v>0</v>
      </c>
      <c r="G440" t="b">
        <f>OR(DM_Control_Error_Param__3[[#This Row],[aperture shift (% actuator pitch)]]&gt;10,DM_Control_Error_Param__3[[#This Row],[log-amplitude variance ]]&gt;0.1)</f>
        <v>0</v>
      </c>
    </row>
    <row r="441" spans="1:7" x14ac:dyDescent="0.25">
      <c r="A441" s="1" t="s">
        <v>22</v>
      </c>
      <c r="B441">
        <v>5</v>
      </c>
      <c r="C441">
        <v>45</v>
      </c>
      <c r="D441" s="1" t="s">
        <v>23</v>
      </c>
      <c r="E441">
        <v>0</v>
      </c>
      <c r="F441">
        <v>0</v>
      </c>
      <c r="G441" t="b">
        <f>OR(DM_Control_Error_Param__3[[#This Row],[aperture shift (% actuator pitch)]]&gt;10,DM_Control_Error_Param__3[[#This Row],[log-amplitude variance ]]&gt;0.1)</f>
        <v>0</v>
      </c>
    </row>
    <row r="442" spans="1:7" x14ac:dyDescent="0.25">
      <c r="A442" s="1" t="s">
        <v>22</v>
      </c>
      <c r="B442">
        <v>5</v>
      </c>
      <c r="C442">
        <v>60</v>
      </c>
      <c r="D442" s="1" t="s">
        <v>23</v>
      </c>
      <c r="E442">
        <v>0</v>
      </c>
      <c r="F442">
        <v>0</v>
      </c>
      <c r="G442" t="b">
        <f>OR(DM_Control_Error_Param__3[[#This Row],[aperture shift (% actuator pitch)]]&gt;10,DM_Control_Error_Param__3[[#This Row],[log-amplitude variance ]]&gt;0.1)</f>
        <v>0</v>
      </c>
    </row>
    <row r="443" spans="1:7" x14ac:dyDescent="0.25">
      <c r="A443" s="1" t="s">
        <v>22</v>
      </c>
      <c r="B443">
        <v>5</v>
      </c>
      <c r="C443">
        <v>70</v>
      </c>
      <c r="D443" s="1" t="s">
        <v>23</v>
      </c>
      <c r="E443">
        <v>0</v>
      </c>
      <c r="F443">
        <v>0</v>
      </c>
      <c r="G443" t="b">
        <f>OR(DM_Control_Error_Param__3[[#This Row],[aperture shift (% actuator pitch)]]&gt;10,DM_Control_Error_Param__3[[#This Row],[log-amplitude variance ]]&gt;0.1)</f>
        <v>0</v>
      </c>
    </row>
    <row r="444" spans="1:7" x14ac:dyDescent="0.25">
      <c r="A444" s="1" t="s">
        <v>22</v>
      </c>
      <c r="B444">
        <v>5</v>
      </c>
      <c r="C444">
        <v>80</v>
      </c>
      <c r="D444" s="1" t="s">
        <v>23</v>
      </c>
      <c r="E444">
        <v>0</v>
      </c>
      <c r="F444">
        <v>0</v>
      </c>
      <c r="G444" t="b">
        <f>OR(DM_Control_Error_Param__3[[#This Row],[aperture shift (% actuator pitch)]]&gt;10,DM_Control_Error_Param__3[[#This Row],[log-amplitude variance ]]&gt;0.1)</f>
        <v>0</v>
      </c>
    </row>
    <row r="445" spans="1:7" x14ac:dyDescent="0.25">
      <c r="A445" s="1" t="s">
        <v>22</v>
      </c>
      <c r="B445">
        <v>3</v>
      </c>
      <c r="C445">
        <v>0</v>
      </c>
      <c r="D445" s="1" t="s">
        <v>23</v>
      </c>
      <c r="E445">
        <v>0</v>
      </c>
      <c r="F445">
        <v>0</v>
      </c>
      <c r="G445" t="b">
        <f>OR(DM_Control_Error_Param__3[[#This Row],[aperture shift (% actuator pitch)]]&gt;10,DM_Control_Error_Param__3[[#This Row],[log-amplitude variance ]]&gt;0.1)</f>
        <v>0</v>
      </c>
    </row>
    <row r="446" spans="1:7" x14ac:dyDescent="0.25">
      <c r="A446" s="1" t="s">
        <v>22</v>
      </c>
      <c r="B446">
        <v>3</v>
      </c>
      <c r="C446">
        <v>30</v>
      </c>
      <c r="D446" s="1" t="s">
        <v>23</v>
      </c>
      <c r="E446">
        <v>0</v>
      </c>
      <c r="F446">
        <v>0</v>
      </c>
      <c r="G446" t="b">
        <f>OR(DM_Control_Error_Param__3[[#This Row],[aperture shift (% actuator pitch)]]&gt;10,DM_Control_Error_Param__3[[#This Row],[log-amplitude variance ]]&gt;0.1)</f>
        <v>0</v>
      </c>
    </row>
    <row r="447" spans="1:7" x14ac:dyDescent="0.25">
      <c r="A447" s="1" t="s">
        <v>22</v>
      </c>
      <c r="B447">
        <v>3</v>
      </c>
      <c r="C447">
        <v>45</v>
      </c>
      <c r="D447" s="1" t="s">
        <v>23</v>
      </c>
      <c r="E447">
        <v>0</v>
      </c>
      <c r="F447">
        <v>0</v>
      </c>
      <c r="G447" t="b">
        <f>OR(DM_Control_Error_Param__3[[#This Row],[aperture shift (% actuator pitch)]]&gt;10,DM_Control_Error_Param__3[[#This Row],[log-amplitude variance ]]&gt;0.1)</f>
        <v>0</v>
      </c>
    </row>
    <row r="448" spans="1:7" x14ac:dyDescent="0.25">
      <c r="A448" s="1" t="s">
        <v>22</v>
      </c>
      <c r="B448">
        <v>3</v>
      </c>
      <c r="C448">
        <v>60</v>
      </c>
      <c r="D448" s="1" t="s">
        <v>23</v>
      </c>
      <c r="E448">
        <v>0</v>
      </c>
      <c r="F448">
        <v>0</v>
      </c>
      <c r="G448" t="b">
        <f>OR(DM_Control_Error_Param__3[[#This Row],[aperture shift (% actuator pitch)]]&gt;10,DM_Control_Error_Param__3[[#This Row],[log-amplitude variance ]]&gt;0.1)</f>
        <v>0</v>
      </c>
    </row>
    <row r="449" spans="1:7" x14ac:dyDescent="0.25">
      <c r="A449" s="1" t="s">
        <v>22</v>
      </c>
      <c r="B449">
        <v>3</v>
      </c>
      <c r="C449">
        <v>70</v>
      </c>
      <c r="D449" s="1" t="s">
        <v>23</v>
      </c>
      <c r="E449">
        <v>0</v>
      </c>
      <c r="F449">
        <v>0</v>
      </c>
      <c r="G449" t="b">
        <f>OR(DM_Control_Error_Param__3[[#This Row],[aperture shift (% actuator pitch)]]&gt;10,DM_Control_Error_Param__3[[#This Row],[log-amplitude variance ]]&gt;0.1)</f>
        <v>0</v>
      </c>
    </row>
    <row r="450" spans="1:7" x14ac:dyDescent="0.25">
      <c r="A450" s="1" t="s">
        <v>22</v>
      </c>
      <c r="B450">
        <v>3</v>
      </c>
      <c r="C450">
        <v>80</v>
      </c>
      <c r="D450" s="1" t="s">
        <v>23</v>
      </c>
      <c r="E450">
        <v>0</v>
      </c>
      <c r="F450">
        <v>0</v>
      </c>
      <c r="G450" t="b">
        <f>OR(DM_Control_Error_Param__3[[#This Row],[aperture shift (% actuator pitch)]]&gt;10,DM_Control_Error_Param__3[[#This Row],[log-amplitude variance ]]&gt;0.1)</f>
        <v>0</v>
      </c>
    </row>
    <row r="451" spans="1:7" x14ac:dyDescent="0.25">
      <c r="A451" s="1" t="s">
        <v>22</v>
      </c>
      <c r="B451">
        <v>2</v>
      </c>
      <c r="C451">
        <v>0</v>
      </c>
      <c r="D451" s="1" t="s">
        <v>23</v>
      </c>
      <c r="E451">
        <v>0</v>
      </c>
      <c r="F451">
        <v>0</v>
      </c>
      <c r="G451" t="b">
        <f>OR(DM_Control_Error_Param__3[[#This Row],[aperture shift (% actuator pitch)]]&gt;10,DM_Control_Error_Param__3[[#This Row],[log-amplitude variance ]]&gt;0.1)</f>
        <v>0</v>
      </c>
    </row>
    <row r="452" spans="1:7" x14ac:dyDescent="0.25">
      <c r="A452" s="1" t="s">
        <v>22</v>
      </c>
      <c r="B452">
        <v>2</v>
      </c>
      <c r="C452">
        <v>30</v>
      </c>
      <c r="D452" s="1" t="s">
        <v>23</v>
      </c>
      <c r="E452">
        <v>0</v>
      </c>
      <c r="F452">
        <v>0</v>
      </c>
      <c r="G452" t="b">
        <f>OR(DM_Control_Error_Param__3[[#This Row],[aperture shift (% actuator pitch)]]&gt;10,DM_Control_Error_Param__3[[#This Row],[log-amplitude variance ]]&gt;0.1)</f>
        <v>0</v>
      </c>
    </row>
    <row r="453" spans="1:7" x14ac:dyDescent="0.25">
      <c r="A453" s="1" t="s">
        <v>22</v>
      </c>
      <c r="B453">
        <v>2</v>
      </c>
      <c r="C453">
        <v>45</v>
      </c>
      <c r="D453" s="1" t="s">
        <v>23</v>
      </c>
      <c r="E453">
        <v>0</v>
      </c>
      <c r="F453">
        <v>0</v>
      </c>
      <c r="G453" t="b">
        <f>OR(DM_Control_Error_Param__3[[#This Row],[aperture shift (% actuator pitch)]]&gt;10,DM_Control_Error_Param__3[[#This Row],[log-amplitude variance ]]&gt;0.1)</f>
        <v>0</v>
      </c>
    </row>
    <row r="454" spans="1:7" x14ac:dyDescent="0.25">
      <c r="A454" s="1" t="s">
        <v>22</v>
      </c>
      <c r="B454">
        <v>2</v>
      </c>
      <c r="C454">
        <v>60</v>
      </c>
      <c r="D454" s="1" t="s">
        <v>23</v>
      </c>
      <c r="E454">
        <v>0</v>
      </c>
      <c r="F454">
        <v>0</v>
      </c>
      <c r="G454" t="b">
        <f>OR(DM_Control_Error_Param__3[[#This Row],[aperture shift (% actuator pitch)]]&gt;10,DM_Control_Error_Param__3[[#This Row],[log-amplitude variance ]]&gt;0.1)</f>
        <v>0</v>
      </c>
    </row>
    <row r="455" spans="1:7" x14ac:dyDescent="0.25">
      <c r="A455" s="1" t="s">
        <v>22</v>
      </c>
      <c r="B455">
        <v>2</v>
      </c>
      <c r="C455">
        <v>70</v>
      </c>
      <c r="D455" s="1" t="s">
        <v>23</v>
      </c>
      <c r="E455">
        <v>0</v>
      </c>
      <c r="F455">
        <v>0</v>
      </c>
      <c r="G455" t="b">
        <f>OR(DM_Control_Error_Param__3[[#This Row],[aperture shift (% actuator pitch)]]&gt;10,DM_Control_Error_Param__3[[#This Row],[log-amplitude variance ]]&gt;0.1)</f>
        <v>0</v>
      </c>
    </row>
    <row r="456" spans="1:7" x14ac:dyDescent="0.25">
      <c r="A456" s="1" t="s">
        <v>22</v>
      </c>
      <c r="B456">
        <v>2</v>
      </c>
      <c r="C456">
        <v>80</v>
      </c>
      <c r="D456" s="1" t="s">
        <v>23</v>
      </c>
      <c r="E456">
        <v>0</v>
      </c>
      <c r="F456">
        <v>0</v>
      </c>
      <c r="G456" t="b">
        <f>OR(DM_Control_Error_Param__3[[#This Row],[aperture shift (% actuator pitch)]]&gt;10,DM_Control_Error_Param__3[[#This Row],[log-amplitude variance ]]&gt;0.1)</f>
        <v>0</v>
      </c>
    </row>
    <row r="457" spans="1:7" x14ac:dyDescent="0.25">
      <c r="A457" s="1" t="s">
        <v>26</v>
      </c>
      <c r="B457">
        <v>14</v>
      </c>
      <c r="C457">
        <v>0</v>
      </c>
      <c r="D457" s="1" t="s">
        <v>27</v>
      </c>
      <c r="E457">
        <v>0</v>
      </c>
      <c r="F457">
        <v>0</v>
      </c>
      <c r="G457" t="b">
        <f>OR(DM_Control_Error_Param__3[[#This Row],[aperture shift (% actuator pitch)]]&gt;10,DM_Control_Error_Param__3[[#This Row],[log-amplitude variance ]]&gt;0.1)</f>
        <v>0</v>
      </c>
    </row>
    <row r="458" spans="1:7" x14ac:dyDescent="0.25">
      <c r="A458" s="1" t="s">
        <v>26</v>
      </c>
      <c r="B458">
        <v>14</v>
      </c>
      <c r="C458">
        <v>30</v>
      </c>
      <c r="D458" s="1" t="s">
        <v>27</v>
      </c>
      <c r="E458">
        <v>0</v>
      </c>
      <c r="F458">
        <v>0</v>
      </c>
      <c r="G458" t="b">
        <f>OR(DM_Control_Error_Param__3[[#This Row],[aperture shift (% actuator pitch)]]&gt;10,DM_Control_Error_Param__3[[#This Row],[log-amplitude variance ]]&gt;0.1)</f>
        <v>0</v>
      </c>
    </row>
    <row r="459" spans="1:7" x14ac:dyDescent="0.25">
      <c r="A459" s="1" t="s">
        <v>26</v>
      </c>
      <c r="B459">
        <v>14</v>
      </c>
      <c r="C459">
        <v>45</v>
      </c>
      <c r="D459" s="1" t="s">
        <v>27</v>
      </c>
      <c r="E459">
        <v>0</v>
      </c>
      <c r="F459">
        <v>0</v>
      </c>
      <c r="G459" t="b">
        <f>OR(DM_Control_Error_Param__3[[#This Row],[aperture shift (% actuator pitch)]]&gt;10,DM_Control_Error_Param__3[[#This Row],[log-amplitude variance ]]&gt;0.1)</f>
        <v>0</v>
      </c>
    </row>
    <row r="460" spans="1:7" x14ac:dyDescent="0.25">
      <c r="A460" s="1" t="s">
        <v>26</v>
      </c>
      <c r="B460">
        <v>14</v>
      </c>
      <c r="C460">
        <v>60</v>
      </c>
      <c r="D460" s="1" t="s">
        <v>27</v>
      </c>
      <c r="E460">
        <v>0</v>
      </c>
      <c r="F460">
        <v>0</v>
      </c>
      <c r="G460" t="b">
        <f>OR(DM_Control_Error_Param__3[[#This Row],[aperture shift (% actuator pitch)]]&gt;10,DM_Control_Error_Param__3[[#This Row],[log-amplitude variance ]]&gt;0.1)</f>
        <v>0</v>
      </c>
    </row>
    <row r="461" spans="1:7" x14ac:dyDescent="0.25">
      <c r="A461" s="1" t="s">
        <v>26</v>
      </c>
      <c r="B461">
        <v>14</v>
      </c>
      <c r="C461">
        <v>70</v>
      </c>
      <c r="D461" s="1" t="s">
        <v>27</v>
      </c>
      <c r="E461">
        <v>0</v>
      </c>
      <c r="F461">
        <v>0</v>
      </c>
      <c r="G461" t="b">
        <f>OR(DM_Control_Error_Param__3[[#This Row],[aperture shift (% actuator pitch)]]&gt;10,DM_Control_Error_Param__3[[#This Row],[log-amplitude variance ]]&gt;0.1)</f>
        <v>0</v>
      </c>
    </row>
    <row r="462" spans="1:7" x14ac:dyDescent="0.25">
      <c r="A462" s="1" t="s">
        <v>26</v>
      </c>
      <c r="B462">
        <v>14</v>
      </c>
      <c r="C462">
        <v>80</v>
      </c>
      <c r="D462" s="1" t="s">
        <v>27</v>
      </c>
      <c r="E462">
        <v>0</v>
      </c>
      <c r="F462">
        <v>0</v>
      </c>
      <c r="G462" t="b">
        <f>OR(DM_Control_Error_Param__3[[#This Row],[aperture shift (% actuator pitch)]]&gt;10,DM_Control_Error_Param__3[[#This Row],[log-amplitude variance ]]&gt;0.1)</f>
        <v>0</v>
      </c>
    </row>
    <row r="463" spans="1:7" x14ac:dyDescent="0.25">
      <c r="A463" s="1" t="s">
        <v>26</v>
      </c>
      <c r="B463">
        <v>11</v>
      </c>
      <c r="C463">
        <v>0</v>
      </c>
      <c r="D463" s="1" t="s">
        <v>27</v>
      </c>
      <c r="E463">
        <v>0</v>
      </c>
      <c r="F463">
        <v>0</v>
      </c>
      <c r="G463" t="b">
        <f>OR(DM_Control_Error_Param__3[[#This Row],[aperture shift (% actuator pitch)]]&gt;10,DM_Control_Error_Param__3[[#This Row],[log-amplitude variance ]]&gt;0.1)</f>
        <v>0</v>
      </c>
    </row>
    <row r="464" spans="1:7" x14ac:dyDescent="0.25">
      <c r="A464" s="1" t="s">
        <v>26</v>
      </c>
      <c r="B464">
        <v>11</v>
      </c>
      <c r="C464">
        <v>30</v>
      </c>
      <c r="D464" s="1" t="s">
        <v>27</v>
      </c>
      <c r="E464">
        <v>0</v>
      </c>
      <c r="F464">
        <v>0</v>
      </c>
      <c r="G464" t="b">
        <f>OR(DM_Control_Error_Param__3[[#This Row],[aperture shift (% actuator pitch)]]&gt;10,DM_Control_Error_Param__3[[#This Row],[log-amplitude variance ]]&gt;0.1)</f>
        <v>0</v>
      </c>
    </row>
    <row r="465" spans="1:7" x14ac:dyDescent="0.25">
      <c r="A465" s="1" t="s">
        <v>26</v>
      </c>
      <c r="B465">
        <v>11</v>
      </c>
      <c r="C465">
        <v>45</v>
      </c>
      <c r="D465" s="1" t="s">
        <v>27</v>
      </c>
      <c r="E465">
        <v>0</v>
      </c>
      <c r="F465">
        <v>0</v>
      </c>
      <c r="G465" t="b">
        <f>OR(DM_Control_Error_Param__3[[#This Row],[aperture shift (% actuator pitch)]]&gt;10,DM_Control_Error_Param__3[[#This Row],[log-amplitude variance ]]&gt;0.1)</f>
        <v>0</v>
      </c>
    </row>
    <row r="466" spans="1:7" x14ac:dyDescent="0.25">
      <c r="A466" s="1" t="s">
        <v>26</v>
      </c>
      <c r="B466">
        <v>11</v>
      </c>
      <c r="C466">
        <v>60</v>
      </c>
      <c r="D466" s="1" t="s">
        <v>27</v>
      </c>
      <c r="E466">
        <v>0</v>
      </c>
      <c r="F466">
        <v>0</v>
      </c>
      <c r="G466" t="b">
        <f>OR(DM_Control_Error_Param__3[[#This Row],[aperture shift (% actuator pitch)]]&gt;10,DM_Control_Error_Param__3[[#This Row],[log-amplitude variance ]]&gt;0.1)</f>
        <v>0</v>
      </c>
    </row>
    <row r="467" spans="1:7" x14ac:dyDescent="0.25">
      <c r="A467" s="1" t="s">
        <v>26</v>
      </c>
      <c r="B467">
        <v>11</v>
      </c>
      <c r="C467">
        <v>70</v>
      </c>
      <c r="D467" s="1" t="s">
        <v>27</v>
      </c>
      <c r="E467">
        <v>0</v>
      </c>
      <c r="F467">
        <v>0</v>
      </c>
      <c r="G467" t="b">
        <f>OR(DM_Control_Error_Param__3[[#This Row],[aperture shift (% actuator pitch)]]&gt;10,DM_Control_Error_Param__3[[#This Row],[log-amplitude variance ]]&gt;0.1)</f>
        <v>0</v>
      </c>
    </row>
    <row r="468" spans="1:7" x14ac:dyDescent="0.25">
      <c r="A468" s="1" t="s">
        <v>26</v>
      </c>
      <c r="B468">
        <v>11</v>
      </c>
      <c r="C468">
        <v>80</v>
      </c>
      <c r="D468" s="1" t="s">
        <v>27</v>
      </c>
      <c r="E468">
        <v>0</v>
      </c>
      <c r="F468">
        <v>0</v>
      </c>
      <c r="G468" t="b">
        <f>OR(DM_Control_Error_Param__3[[#This Row],[aperture shift (% actuator pitch)]]&gt;10,DM_Control_Error_Param__3[[#This Row],[log-amplitude variance ]]&gt;0.1)</f>
        <v>0</v>
      </c>
    </row>
    <row r="469" spans="1:7" x14ac:dyDescent="0.25">
      <c r="A469" s="1" t="s">
        <v>26</v>
      </c>
      <c r="B469">
        <v>8</v>
      </c>
      <c r="C469">
        <v>0</v>
      </c>
      <c r="D469" s="1" t="s">
        <v>27</v>
      </c>
      <c r="E469">
        <v>0</v>
      </c>
      <c r="F469">
        <v>0</v>
      </c>
      <c r="G469" t="b">
        <f>OR(DM_Control_Error_Param__3[[#This Row],[aperture shift (% actuator pitch)]]&gt;10,DM_Control_Error_Param__3[[#This Row],[log-amplitude variance ]]&gt;0.1)</f>
        <v>0</v>
      </c>
    </row>
    <row r="470" spans="1:7" x14ac:dyDescent="0.25">
      <c r="A470" s="1" t="s">
        <v>26</v>
      </c>
      <c r="B470">
        <v>8</v>
      </c>
      <c r="C470">
        <v>30</v>
      </c>
      <c r="D470" s="1" t="s">
        <v>27</v>
      </c>
      <c r="E470">
        <v>0</v>
      </c>
      <c r="F470">
        <v>0</v>
      </c>
      <c r="G470" t="b">
        <f>OR(DM_Control_Error_Param__3[[#This Row],[aperture shift (% actuator pitch)]]&gt;10,DM_Control_Error_Param__3[[#This Row],[log-amplitude variance ]]&gt;0.1)</f>
        <v>0</v>
      </c>
    </row>
    <row r="471" spans="1:7" x14ac:dyDescent="0.25">
      <c r="A471" s="1" t="s">
        <v>26</v>
      </c>
      <c r="B471">
        <v>8</v>
      </c>
      <c r="C471">
        <v>45</v>
      </c>
      <c r="D471" s="1" t="s">
        <v>27</v>
      </c>
      <c r="E471">
        <v>0</v>
      </c>
      <c r="F471">
        <v>0</v>
      </c>
      <c r="G471" t="b">
        <f>OR(DM_Control_Error_Param__3[[#This Row],[aperture shift (% actuator pitch)]]&gt;10,DM_Control_Error_Param__3[[#This Row],[log-amplitude variance ]]&gt;0.1)</f>
        <v>0</v>
      </c>
    </row>
    <row r="472" spans="1:7" x14ac:dyDescent="0.25">
      <c r="A472" s="1" t="s">
        <v>26</v>
      </c>
      <c r="B472">
        <v>8</v>
      </c>
      <c r="C472">
        <v>60</v>
      </c>
      <c r="D472" s="1" t="s">
        <v>27</v>
      </c>
      <c r="E472">
        <v>0</v>
      </c>
      <c r="F472">
        <v>0</v>
      </c>
      <c r="G472" t="b">
        <f>OR(DM_Control_Error_Param__3[[#This Row],[aperture shift (% actuator pitch)]]&gt;10,DM_Control_Error_Param__3[[#This Row],[log-amplitude variance ]]&gt;0.1)</f>
        <v>0</v>
      </c>
    </row>
    <row r="473" spans="1:7" x14ac:dyDescent="0.25">
      <c r="A473" s="1" t="s">
        <v>26</v>
      </c>
      <c r="B473">
        <v>8</v>
      </c>
      <c r="C473">
        <v>70</v>
      </c>
      <c r="D473" s="1" t="s">
        <v>27</v>
      </c>
      <c r="E473">
        <v>0</v>
      </c>
      <c r="F473">
        <v>0</v>
      </c>
      <c r="G473" t="b">
        <f>OR(DM_Control_Error_Param__3[[#This Row],[aperture shift (% actuator pitch)]]&gt;10,DM_Control_Error_Param__3[[#This Row],[log-amplitude variance ]]&gt;0.1)</f>
        <v>0</v>
      </c>
    </row>
    <row r="474" spans="1:7" x14ac:dyDescent="0.25">
      <c r="A474" s="1" t="s">
        <v>26</v>
      </c>
      <c r="B474">
        <v>8</v>
      </c>
      <c r="C474">
        <v>80</v>
      </c>
      <c r="D474" s="1" t="s">
        <v>27</v>
      </c>
      <c r="E474">
        <v>0</v>
      </c>
      <c r="F474">
        <v>0</v>
      </c>
      <c r="G474" t="b">
        <f>OR(DM_Control_Error_Param__3[[#This Row],[aperture shift (% actuator pitch)]]&gt;10,DM_Control_Error_Param__3[[#This Row],[log-amplitude variance ]]&gt;0.1)</f>
        <v>0</v>
      </c>
    </row>
    <row r="475" spans="1:7" x14ac:dyDescent="0.25">
      <c r="A475" s="1" t="s">
        <v>26</v>
      </c>
      <c r="B475">
        <v>5</v>
      </c>
      <c r="C475">
        <v>0</v>
      </c>
      <c r="D475" s="1" t="s">
        <v>27</v>
      </c>
      <c r="E475">
        <v>0</v>
      </c>
      <c r="F475">
        <v>0</v>
      </c>
      <c r="G475" t="b">
        <f>OR(DM_Control_Error_Param__3[[#This Row],[aperture shift (% actuator pitch)]]&gt;10,DM_Control_Error_Param__3[[#This Row],[log-amplitude variance ]]&gt;0.1)</f>
        <v>0</v>
      </c>
    </row>
    <row r="476" spans="1:7" x14ac:dyDescent="0.25">
      <c r="A476" s="1" t="s">
        <v>26</v>
      </c>
      <c r="B476">
        <v>5</v>
      </c>
      <c r="C476">
        <v>30</v>
      </c>
      <c r="D476" s="1" t="s">
        <v>27</v>
      </c>
      <c r="E476">
        <v>0</v>
      </c>
      <c r="F476">
        <v>0</v>
      </c>
      <c r="G476" t="b">
        <f>OR(DM_Control_Error_Param__3[[#This Row],[aperture shift (% actuator pitch)]]&gt;10,DM_Control_Error_Param__3[[#This Row],[log-amplitude variance ]]&gt;0.1)</f>
        <v>0</v>
      </c>
    </row>
    <row r="477" spans="1:7" x14ac:dyDescent="0.25">
      <c r="A477" s="1" t="s">
        <v>26</v>
      </c>
      <c r="B477">
        <v>5</v>
      </c>
      <c r="C477">
        <v>45</v>
      </c>
      <c r="D477" s="1" t="s">
        <v>27</v>
      </c>
      <c r="E477">
        <v>0</v>
      </c>
      <c r="F477">
        <v>0</v>
      </c>
      <c r="G477" t="b">
        <f>OR(DM_Control_Error_Param__3[[#This Row],[aperture shift (% actuator pitch)]]&gt;10,DM_Control_Error_Param__3[[#This Row],[log-amplitude variance ]]&gt;0.1)</f>
        <v>0</v>
      </c>
    </row>
    <row r="478" spans="1:7" x14ac:dyDescent="0.25">
      <c r="A478" s="1" t="s">
        <v>26</v>
      </c>
      <c r="B478">
        <v>5</v>
      </c>
      <c r="C478">
        <v>60</v>
      </c>
      <c r="D478" s="1" t="s">
        <v>27</v>
      </c>
      <c r="E478">
        <v>0</v>
      </c>
      <c r="F478">
        <v>0</v>
      </c>
      <c r="G478" t="b">
        <f>OR(DM_Control_Error_Param__3[[#This Row],[aperture shift (% actuator pitch)]]&gt;10,DM_Control_Error_Param__3[[#This Row],[log-amplitude variance ]]&gt;0.1)</f>
        <v>0</v>
      </c>
    </row>
    <row r="479" spans="1:7" x14ac:dyDescent="0.25">
      <c r="A479" s="1" t="s">
        <v>26</v>
      </c>
      <c r="B479">
        <v>5</v>
      </c>
      <c r="C479">
        <v>70</v>
      </c>
      <c r="D479" s="1" t="s">
        <v>27</v>
      </c>
      <c r="E479">
        <v>0</v>
      </c>
      <c r="F479">
        <v>0</v>
      </c>
      <c r="G479" t="b">
        <f>OR(DM_Control_Error_Param__3[[#This Row],[aperture shift (% actuator pitch)]]&gt;10,DM_Control_Error_Param__3[[#This Row],[log-amplitude variance ]]&gt;0.1)</f>
        <v>0</v>
      </c>
    </row>
    <row r="480" spans="1:7" x14ac:dyDescent="0.25">
      <c r="A480" s="1" t="s">
        <v>26</v>
      </c>
      <c r="B480">
        <v>5</v>
      </c>
      <c r="C480">
        <v>80</v>
      </c>
      <c r="D480" s="1" t="s">
        <v>27</v>
      </c>
      <c r="E480">
        <v>0</v>
      </c>
      <c r="F480">
        <v>0</v>
      </c>
      <c r="G480" t="b">
        <f>OR(DM_Control_Error_Param__3[[#This Row],[aperture shift (% actuator pitch)]]&gt;10,DM_Control_Error_Param__3[[#This Row],[log-amplitude variance ]]&gt;0.1)</f>
        <v>0</v>
      </c>
    </row>
    <row r="481" spans="1:7" x14ac:dyDescent="0.25">
      <c r="A481" s="1" t="s">
        <v>26</v>
      </c>
      <c r="B481">
        <v>3</v>
      </c>
      <c r="C481">
        <v>0</v>
      </c>
      <c r="D481" s="1" t="s">
        <v>27</v>
      </c>
      <c r="E481">
        <v>0</v>
      </c>
      <c r="F481">
        <v>0</v>
      </c>
      <c r="G481" t="b">
        <f>OR(DM_Control_Error_Param__3[[#This Row],[aperture shift (% actuator pitch)]]&gt;10,DM_Control_Error_Param__3[[#This Row],[log-amplitude variance ]]&gt;0.1)</f>
        <v>0</v>
      </c>
    </row>
    <row r="482" spans="1:7" x14ac:dyDescent="0.25">
      <c r="A482" s="1" t="s">
        <v>26</v>
      </c>
      <c r="B482">
        <v>3</v>
      </c>
      <c r="C482">
        <v>30</v>
      </c>
      <c r="D482" s="1" t="s">
        <v>27</v>
      </c>
      <c r="E482">
        <v>0</v>
      </c>
      <c r="F482">
        <v>0</v>
      </c>
      <c r="G482" t="b">
        <f>OR(DM_Control_Error_Param__3[[#This Row],[aperture shift (% actuator pitch)]]&gt;10,DM_Control_Error_Param__3[[#This Row],[log-amplitude variance ]]&gt;0.1)</f>
        <v>0</v>
      </c>
    </row>
    <row r="483" spans="1:7" x14ac:dyDescent="0.25">
      <c r="A483" s="1" t="s">
        <v>26</v>
      </c>
      <c r="B483">
        <v>3</v>
      </c>
      <c r="C483">
        <v>45</v>
      </c>
      <c r="D483" s="1" t="s">
        <v>27</v>
      </c>
      <c r="E483">
        <v>0</v>
      </c>
      <c r="F483">
        <v>0</v>
      </c>
      <c r="G483" t="b">
        <f>OR(DM_Control_Error_Param__3[[#This Row],[aperture shift (% actuator pitch)]]&gt;10,DM_Control_Error_Param__3[[#This Row],[log-amplitude variance ]]&gt;0.1)</f>
        <v>0</v>
      </c>
    </row>
    <row r="484" spans="1:7" x14ac:dyDescent="0.25">
      <c r="A484" s="1" t="s">
        <v>26</v>
      </c>
      <c r="B484">
        <v>3</v>
      </c>
      <c r="C484">
        <v>60</v>
      </c>
      <c r="D484" s="1" t="s">
        <v>27</v>
      </c>
      <c r="E484">
        <v>0</v>
      </c>
      <c r="F484">
        <v>0</v>
      </c>
      <c r="G484" t="b">
        <f>OR(DM_Control_Error_Param__3[[#This Row],[aperture shift (% actuator pitch)]]&gt;10,DM_Control_Error_Param__3[[#This Row],[log-amplitude variance ]]&gt;0.1)</f>
        <v>0</v>
      </c>
    </row>
    <row r="485" spans="1:7" x14ac:dyDescent="0.25">
      <c r="A485" s="1" t="s">
        <v>26</v>
      </c>
      <c r="B485">
        <v>3</v>
      </c>
      <c r="C485">
        <v>70</v>
      </c>
      <c r="D485" s="1" t="s">
        <v>27</v>
      </c>
      <c r="E485">
        <v>0</v>
      </c>
      <c r="F485">
        <v>0</v>
      </c>
      <c r="G485" t="b">
        <f>OR(DM_Control_Error_Param__3[[#This Row],[aperture shift (% actuator pitch)]]&gt;10,DM_Control_Error_Param__3[[#This Row],[log-amplitude variance ]]&gt;0.1)</f>
        <v>0</v>
      </c>
    </row>
    <row r="486" spans="1:7" x14ac:dyDescent="0.25">
      <c r="A486" s="1" t="s">
        <v>26</v>
      </c>
      <c r="B486">
        <v>3</v>
      </c>
      <c r="C486">
        <v>80</v>
      </c>
      <c r="D486" s="1" t="s">
        <v>27</v>
      </c>
      <c r="E486">
        <v>0</v>
      </c>
      <c r="F486">
        <v>0</v>
      </c>
      <c r="G486" t="b">
        <f>OR(DM_Control_Error_Param__3[[#This Row],[aperture shift (% actuator pitch)]]&gt;10,DM_Control_Error_Param__3[[#This Row],[log-amplitude variance ]]&gt;0.1)</f>
        <v>0</v>
      </c>
    </row>
    <row r="487" spans="1:7" x14ac:dyDescent="0.25">
      <c r="A487" s="1" t="s">
        <v>26</v>
      </c>
      <c r="B487">
        <v>2</v>
      </c>
      <c r="C487">
        <v>0</v>
      </c>
      <c r="D487" s="1" t="s">
        <v>27</v>
      </c>
      <c r="E487">
        <v>0</v>
      </c>
      <c r="F487">
        <v>0</v>
      </c>
      <c r="G487" t="b">
        <f>OR(DM_Control_Error_Param__3[[#This Row],[aperture shift (% actuator pitch)]]&gt;10,DM_Control_Error_Param__3[[#This Row],[log-amplitude variance ]]&gt;0.1)</f>
        <v>0</v>
      </c>
    </row>
    <row r="488" spans="1:7" x14ac:dyDescent="0.25">
      <c r="A488" s="1" t="s">
        <v>26</v>
      </c>
      <c r="B488">
        <v>2</v>
      </c>
      <c r="C488">
        <v>30</v>
      </c>
      <c r="D488" s="1" t="s">
        <v>27</v>
      </c>
      <c r="E488">
        <v>0</v>
      </c>
      <c r="F488">
        <v>0</v>
      </c>
      <c r="G488" t="b">
        <f>OR(DM_Control_Error_Param__3[[#This Row],[aperture shift (% actuator pitch)]]&gt;10,DM_Control_Error_Param__3[[#This Row],[log-amplitude variance ]]&gt;0.1)</f>
        <v>0</v>
      </c>
    </row>
    <row r="489" spans="1:7" x14ac:dyDescent="0.25">
      <c r="A489" s="1" t="s">
        <v>26</v>
      </c>
      <c r="B489">
        <v>2</v>
      </c>
      <c r="C489">
        <v>45</v>
      </c>
      <c r="D489" s="1" t="s">
        <v>27</v>
      </c>
      <c r="E489">
        <v>0</v>
      </c>
      <c r="F489">
        <v>0</v>
      </c>
      <c r="G489" t="b">
        <f>OR(DM_Control_Error_Param__3[[#This Row],[aperture shift (% actuator pitch)]]&gt;10,DM_Control_Error_Param__3[[#This Row],[log-amplitude variance ]]&gt;0.1)</f>
        <v>0</v>
      </c>
    </row>
    <row r="490" spans="1:7" x14ac:dyDescent="0.25">
      <c r="A490" s="1" t="s">
        <v>26</v>
      </c>
      <c r="B490">
        <v>2</v>
      </c>
      <c r="C490">
        <v>60</v>
      </c>
      <c r="D490" s="1" t="s">
        <v>27</v>
      </c>
      <c r="E490">
        <v>0</v>
      </c>
      <c r="F490">
        <v>0</v>
      </c>
      <c r="G490" t="b">
        <f>OR(DM_Control_Error_Param__3[[#This Row],[aperture shift (% actuator pitch)]]&gt;10,DM_Control_Error_Param__3[[#This Row],[log-amplitude variance ]]&gt;0.1)</f>
        <v>0</v>
      </c>
    </row>
    <row r="491" spans="1:7" x14ac:dyDescent="0.25">
      <c r="A491" s="1" t="s">
        <v>26</v>
      </c>
      <c r="B491">
        <v>2</v>
      </c>
      <c r="C491">
        <v>70</v>
      </c>
      <c r="D491" s="1" t="s">
        <v>27</v>
      </c>
      <c r="E491">
        <v>0</v>
      </c>
      <c r="F491">
        <v>0</v>
      </c>
      <c r="G491" t="b">
        <f>OR(DM_Control_Error_Param__3[[#This Row],[aperture shift (% actuator pitch)]]&gt;10,DM_Control_Error_Param__3[[#This Row],[log-amplitude variance ]]&gt;0.1)</f>
        <v>0</v>
      </c>
    </row>
    <row r="492" spans="1:7" x14ac:dyDescent="0.25">
      <c r="A492" s="1" t="s">
        <v>26</v>
      </c>
      <c r="B492">
        <v>2</v>
      </c>
      <c r="C492">
        <v>80</v>
      </c>
      <c r="D492" s="1" t="s">
        <v>27</v>
      </c>
      <c r="E492">
        <v>0</v>
      </c>
      <c r="F492">
        <v>0</v>
      </c>
      <c r="G492" t="b">
        <f>OR(DM_Control_Error_Param__3[[#This Row],[aperture shift (% actuator pitch)]]&gt;10,DM_Control_Error_Param__3[[#This Row],[log-amplitude variance ]]&gt;0.1)</f>
        <v>0</v>
      </c>
    </row>
    <row r="493" spans="1:7" x14ac:dyDescent="0.25">
      <c r="A493" s="1" t="s">
        <v>10</v>
      </c>
      <c r="B493">
        <v>14</v>
      </c>
      <c r="C493">
        <v>0</v>
      </c>
      <c r="D493" s="1" t="s">
        <v>12</v>
      </c>
      <c r="E493">
        <v>0.1</v>
      </c>
      <c r="F493">
        <v>1E-3</v>
      </c>
      <c r="G493" t="b">
        <f>OR(DM_Control_Error_Param__3[[#This Row],[aperture shift (% actuator pitch)]]&gt;10,DM_Control_Error_Param__3[[#This Row],[log-amplitude variance ]]&gt;0.1)</f>
        <v>0</v>
      </c>
    </row>
    <row r="494" spans="1:7" x14ac:dyDescent="0.25">
      <c r="A494" s="1" t="s">
        <v>10</v>
      </c>
      <c r="B494">
        <v>14</v>
      </c>
      <c r="C494">
        <v>30</v>
      </c>
      <c r="D494" s="1" t="s">
        <v>12</v>
      </c>
      <c r="E494">
        <v>0.1</v>
      </c>
      <c r="F494">
        <v>1E-3</v>
      </c>
      <c r="G494" t="b">
        <f>OR(DM_Control_Error_Param__3[[#This Row],[aperture shift (% actuator pitch)]]&gt;10,DM_Control_Error_Param__3[[#This Row],[log-amplitude variance ]]&gt;0.1)</f>
        <v>0</v>
      </c>
    </row>
    <row r="495" spans="1:7" x14ac:dyDescent="0.25">
      <c r="A495" s="1" t="s">
        <v>10</v>
      </c>
      <c r="B495">
        <v>14</v>
      </c>
      <c r="C495">
        <v>45</v>
      </c>
      <c r="D495" s="1" t="s">
        <v>12</v>
      </c>
      <c r="E495">
        <v>0.2</v>
      </c>
      <c r="F495">
        <v>1E-3</v>
      </c>
      <c r="G495" t="b">
        <f>OR(DM_Control_Error_Param__3[[#This Row],[aperture shift (% actuator pitch)]]&gt;10,DM_Control_Error_Param__3[[#This Row],[log-amplitude variance ]]&gt;0.1)</f>
        <v>0</v>
      </c>
    </row>
    <row r="496" spans="1:7" x14ac:dyDescent="0.25">
      <c r="A496" s="1" t="s">
        <v>10</v>
      </c>
      <c r="B496">
        <v>14</v>
      </c>
      <c r="C496">
        <v>60</v>
      </c>
      <c r="D496" s="1" t="s">
        <v>12</v>
      </c>
      <c r="E496">
        <v>0.2</v>
      </c>
      <c r="F496">
        <v>2E-3</v>
      </c>
      <c r="G496" t="b">
        <f>OR(DM_Control_Error_Param__3[[#This Row],[aperture shift (% actuator pitch)]]&gt;10,DM_Control_Error_Param__3[[#This Row],[log-amplitude variance ]]&gt;0.1)</f>
        <v>0</v>
      </c>
    </row>
    <row r="497" spans="1:7" x14ac:dyDescent="0.25">
      <c r="A497" s="1" t="s">
        <v>10</v>
      </c>
      <c r="B497">
        <v>14</v>
      </c>
      <c r="C497">
        <v>70</v>
      </c>
      <c r="D497" s="1" t="s">
        <v>12</v>
      </c>
      <c r="E497">
        <v>0.2</v>
      </c>
      <c r="F497">
        <v>3.0000000000000001E-3</v>
      </c>
      <c r="G497" t="b">
        <f>OR(DM_Control_Error_Param__3[[#This Row],[aperture shift (% actuator pitch)]]&gt;10,DM_Control_Error_Param__3[[#This Row],[log-amplitude variance ]]&gt;0.1)</f>
        <v>0</v>
      </c>
    </row>
    <row r="498" spans="1:7" x14ac:dyDescent="0.25">
      <c r="A498" s="1" t="s">
        <v>10</v>
      </c>
      <c r="B498">
        <v>14</v>
      </c>
      <c r="C498">
        <v>80</v>
      </c>
      <c r="D498" s="1" t="s">
        <v>12</v>
      </c>
      <c r="E498">
        <v>0.4</v>
      </c>
      <c r="F498">
        <v>8.0000000000000002E-3</v>
      </c>
      <c r="G498" t="b">
        <f>OR(DM_Control_Error_Param__3[[#This Row],[aperture shift (% actuator pitch)]]&gt;10,DM_Control_Error_Param__3[[#This Row],[log-amplitude variance ]]&gt;0.1)</f>
        <v>0</v>
      </c>
    </row>
    <row r="499" spans="1:7" x14ac:dyDescent="0.25">
      <c r="A499" s="1" t="s">
        <v>10</v>
      </c>
      <c r="B499">
        <v>11</v>
      </c>
      <c r="C499">
        <v>0</v>
      </c>
      <c r="D499" s="1" t="s">
        <v>12</v>
      </c>
      <c r="E499">
        <v>0.2</v>
      </c>
      <c r="F499">
        <v>1E-3</v>
      </c>
      <c r="G499" t="b">
        <f>OR(DM_Control_Error_Param__3[[#This Row],[aperture shift (% actuator pitch)]]&gt;10,DM_Control_Error_Param__3[[#This Row],[log-amplitude variance ]]&gt;0.1)</f>
        <v>0</v>
      </c>
    </row>
    <row r="500" spans="1:7" x14ac:dyDescent="0.25">
      <c r="A500" s="1" t="s">
        <v>10</v>
      </c>
      <c r="B500">
        <v>11</v>
      </c>
      <c r="C500">
        <v>30</v>
      </c>
      <c r="D500" s="1" t="s">
        <v>12</v>
      </c>
      <c r="E500">
        <v>0.2</v>
      </c>
      <c r="F500">
        <v>1E-3</v>
      </c>
      <c r="G500" t="b">
        <f>OR(DM_Control_Error_Param__3[[#This Row],[aperture shift (% actuator pitch)]]&gt;10,DM_Control_Error_Param__3[[#This Row],[log-amplitude variance ]]&gt;0.1)</f>
        <v>0</v>
      </c>
    </row>
    <row r="501" spans="1:7" x14ac:dyDescent="0.25">
      <c r="A501" s="1" t="s">
        <v>10</v>
      </c>
      <c r="B501">
        <v>11</v>
      </c>
      <c r="C501">
        <v>45</v>
      </c>
      <c r="D501" s="1" t="s">
        <v>12</v>
      </c>
      <c r="E501">
        <v>0.2</v>
      </c>
      <c r="F501">
        <v>2E-3</v>
      </c>
      <c r="G501" t="b">
        <f>OR(DM_Control_Error_Param__3[[#This Row],[aperture shift (% actuator pitch)]]&gt;10,DM_Control_Error_Param__3[[#This Row],[log-amplitude variance ]]&gt;0.1)</f>
        <v>0</v>
      </c>
    </row>
    <row r="502" spans="1:7" x14ac:dyDescent="0.25">
      <c r="A502" s="1" t="s">
        <v>10</v>
      </c>
      <c r="B502">
        <v>11</v>
      </c>
      <c r="C502">
        <v>60</v>
      </c>
      <c r="D502" s="1" t="s">
        <v>12</v>
      </c>
      <c r="E502">
        <v>0.3</v>
      </c>
      <c r="F502">
        <v>3.0000000000000001E-3</v>
      </c>
      <c r="G502" t="b">
        <f>OR(DM_Control_Error_Param__3[[#This Row],[aperture shift (% actuator pitch)]]&gt;10,DM_Control_Error_Param__3[[#This Row],[log-amplitude variance ]]&gt;0.1)</f>
        <v>0</v>
      </c>
    </row>
    <row r="503" spans="1:7" x14ac:dyDescent="0.25">
      <c r="A503" s="1" t="s">
        <v>10</v>
      </c>
      <c r="B503">
        <v>11</v>
      </c>
      <c r="C503">
        <v>70</v>
      </c>
      <c r="D503" s="1" t="s">
        <v>12</v>
      </c>
      <c r="E503">
        <v>0.3</v>
      </c>
      <c r="F503">
        <v>4.0000000000000001E-3</v>
      </c>
      <c r="G503" t="b">
        <f>OR(DM_Control_Error_Param__3[[#This Row],[aperture shift (% actuator pitch)]]&gt;10,DM_Control_Error_Param__3[[#This Row],[log-amplitude variance ]]&gt;0.1)</f>
        <v>0</v>
      </c>
    </row>
    <row r="504" spans="1:7" x14ac:dyDescent="0.25">
      <c r="A504" s="1" t="s">
        <v>10</v>
      </c>
      <c r="B504">
        <v>11</v>
      </c>
      <c r="C504">
        <v>80</v>
      </c>
      <c r="D504" s="1" t="s">
        <v>12</v>
      </c>
      <c r="E504">
        <v>0.5</v>
      </c>
      <c r="F504">
        <v>1.2E-2</v>
      </c>
      <c r="G504" t="b">
        <f>OR(DM_Control_Error_Param__3[[#This Row],[aperture shift (% actuator pitch)]]&gt;10,DM_Control_Error_Param__3[[#This Row],[log-amplitude variance ]]&gt;0.1)</f>
        <v>0</v>
      </c>
    </row>
    <row r="505" spans="1:7" x14ac:dyDescent="0.25">
      <c r="A505" s="1" t="s">
        <v>10</v>
      </c>
      <c r="B505">
        <v>8</v>
      </c>
      <c r="C505">
        <v>0</v>
      </c>
      <c r="D505" s="1" t="s">
        <v>12</v>
      </c>
      <c r="E505">
        <v>0.2</v>
      </c>
      <c r="F505">
        <v>2E-3</v>
      </c>
      <c r="G505" t="b">
        <f>OR(DM_Control_Error_Param__3[[#This Row],[aperture shift (% actuator pitch)]]&gt;10,DM_Control_Error_Param__3[[#This Row],[log-amplitude variance ]]&gt;0.1)</f>
        <v>0</v>
      </c>
    </row>
    <row r="506" spans="1:7" x14ac:dyDescent="0.25">
      <c r="A506" s="1" t="s">
        <v>10</v>
      </c>
      <c r="B506">
        <v>8</v>
      </c>
      <c r="C506">
        <v>30</v>
      </c>
      <c r="D506" s="1" t="s">
        <v>12</v>
      </c>
      <c r="E506">
        <v>0.2</v>
      </c>
      <c r="F506">
        <v>2E-3</v>
      </c>
      <c r="G506" t="b">
        <f>OR(DM_Control_Error_Param__3[[#This Row],[aperture shift (% actuator pitch)]]&gt;10,DM_Control_Error_Param__3[[#This Row],[log-amplitude variance ]]&gt;0.1)</f>
        <v>0</v>
      </c>
    </row>
    <row r="507" spans="1:7" x14ac:dyDescent="0.25">
      <c r="A507" s="1" t="s">
        <v>10</v>
      </c>
      <c r="B507">
        <v>8</v>
      </c>
      <c r="C507">
        <v>45</v>
      </c>
      <c r="D507" s="1" t="s">
        <v>12</v>
      </c>
      <c r="E507">
        <v>0.3</v>
      </c>
      <c r="F507">
        <v>3.0000000000000001E-3</v>
      </c>
      <c r="G507" t="b">
        <f>OR(DM_Control_Error_Param__3[[#This Row],[aperture shift (% actuator pitch)]]&gt;10,DM_Control_Error_Param__3[[#This Row],[log-amplitude variance ]]&gt;0.1)</f>
        <v>0</v>
      </c>
    </row>
    <row r="508" spans="1:7" x14ac:dyDescent="0.25">
      <c r="A508" s="1" t="s">
        <v>10</v>
      </c>
      <c r="B508">
        <v>8</v>
      </c>
      <c r="C508">
        <v>60</v>
      </c>
      <c r="D508" s="1" t="s">
        <v>12</v>
      </c>
      <c r="E508">
        <v>0.3</v>
      </c>
      <c r="F508">
        <v>5.0000000000000001E-3</v>
      </c>
      <c r="G508" t="b">
        <f>OR(DM_Control_Error_Param__3[[#This Row],[aperture shift (% actuator pitch)]]&gt;10,DM_Control_Error_Param__3[[#This Row],[log-amplitude variance ]]&gt;0.1)</f>
        <v>0</v>
      </c>
    </row>
    <row r="509" spans="1:7" x14ac:dyDescent="0.25">
      <c r="A509" s="1" t="s">
        <v>10</v>
      </c>
      <c r="B509">
        <v>8</v>
      </c>
      <c r="C509">
        <v>70</v>
      </c>
      <c r="D509" s="1" t="s">
        <v>12</v>
      </c>
      <c r="E509">
        <v>0.4</v>
      </c>
      <c r="F509">
        <v>7.0000000000000001E-3</v>
      </c>
      <c r="G509" t="b">
        <f>OR(DM_Control_Error_Param__3[[#This Row],[aperture shift (% actuator pitch)]]&gt;10,DM_Control_Error_Param__3[[#This Row],[log-amplitude variance ]]&gt;0.1)</f>
        <v>0</v>
      </c>
    </row>
    <row r="510" spans="1:7" x14ac:dyDescent="0.25">
      <c r="A510" s="1" t="s">
        <v>10</v>
      </c>
      <c r="B510">
        <v>8</v>
      </c>
      <c r="C510">
        <v>80</v>
      </c>
      <c r="D510" s="1" t="s">
        <v>12</v>
      </c>
      <c r="E510">
        <v>0.7</v>
      </c>
      <c r="F510">
        <v>0.02</v>
      </c>
      <c r="G510" t="b">
        <f>OR(DM_Control_Error_Param__3[[#This Row],[aperture shift (% actuator pitch)]]&gt;10,DM_Control_Error_Param__3[[#This Row],[log-amplitude variance ]]&gt;0.1)</f>
        <v>0</v>
      </c>
    </row>
    <row r="511" spans="1:7" x14ac:dyDescent="0.25">
      <c r="A511" s="1" t="s">
        <v>10</v>
      </c>
      <c r="B511">
        <v>5</v>
      </c>
      <c r="C511">
        <v>0</v>
      </c>
      <c r="D511" s="1" t="s">
        <v>12</v>
      </c>
      <c r="E511">
        <v>0.3</v>
      </c>
      <c r="F511">
        <v>5.0000000000000001E-3</v>
      </c>
      <c r="G511" t="b">
        <f>OR(DM_Control_Error_Param__3[[#This Row],[aperture shift (% actuator pitch)]]&gt;10,DM_Control_Error_Param__3[[#This Row],[log-amplitude variance ]]&gt;0.1)</f>
        <v>0</v>
      </c>
    </row>
    <row r="512" spans="1:7" x14ac:dyDescent="0.25">
      <c r="A512" s="1" t="s">
        <v>10</v>
      </c>
      <c r="B512">
        <v>5</v>
      </c>
      <c r="C512">
        <v>30</v>
      </c>
      <c r="D512" s="1" t="s">
        <v>12</v>
      </c>
      <c r="E512">
        <v>0.3</v>
      </c>
      <c r="F512">
        <v>5.0000000000000001E-3</v>
      </c>
      <c r="G512" t="b">
        <f>OR(DM_Control_Error_Param__3[[#This Row],[aperture shift (% actuator pitch)]]&gt;10,DM_Control_Error_Param__3[[#This Row],[log-amplitude variance ]]&gt;0.1)</f>
        <v>0</v>
      </c>
    </row>
    <row r="513" spans="1:7" x14ac:dyDescent="0.25">
      <c r="A513" s="1" t="s">
        <v>10</v>
      </c>
      <c r="B513">
        <v>5</v>
      </c>
      <c r="C513">
        <v>45</v>
      </c>
      <c r="D513" s="1" t="s">
        <v>12</v>
      </c>
      <c r="E513">
        <v>0.4</v>
      </c>
      <c r="F513">
        <v>7.0000000000000001E-3</v>
      </c>
      <c r="G513" t="b">
        <f>OR(DM_Control_Error_Param__3[[#This Row],[aperture shift (% actuator pitch)]]&gt;10,DM_Control_Error_Param__3[[#This Row],[log-amplitude variance ]]&gt;0.1)</f>
        <v>0</v>
      </c>
    </row>
    <row r="514" spans="1:7" x14ac:dyDescent="0.25">
      <c r="A514" s="1" t="s">
        <v>10</v>
      </c>
      <c r="B514">
        <v>5</v>
      </c>
      <c r="C514">
        <v>60</v>
      </c>
      <c r="D514" s="1" t="s">
        <v>12</v>
      </c>
      <c r="E514">
        <v>0.5</v>
      </c>
      <c r="F514">
        <v>1.2E-2</v>
      </c>
      <c r="G514" t="b">
        <f>OR(DM_Control_Error_Param__3[[#This Row],[aperture shift (% actuator pitch)]]&gt;10,DM_Control_Error_Param__3[[#This Row],[log-amplitude variance ]]&gt;0.1)</f>
        <v>0</v>
      </c>
    </row>
    <row r="515" spans="1:7" x14ac:dyDescent="0.25">
      <c r="A515" s="1" t="s">
        <v>10</v>
      </c>
      <c r="B515">
        <v>5</v>
      </c>
      <c r="C515">
        <v>70</v>
      </c>
      <c r="D515" s="1" t="s">
        <v>12</v>
      </c>
      <c r="E515">
        <v>0.6</v>
      </c>
      <c r="F515">
        <v>1.4999999999999999E-2</v>
      </c>
      <c r="G515" t="b">
        <f>OR(DM_Control_Error_Param__3[[#This Row],[aperture shift (% actuator pitch)]]&gt;10,DM_Control_Error_Param__3[[#This Row],[log-amplitude variance ]]&gt;0.1)</f>
        <v>0</v>
      </c>
    </row>
    <row r="516" spans="1:7" x14ac:dyDescent="0.25">
      <c r="A516" s="1" t="s">
        <v>10</v>
      </c>
      <c r="B516">
        <v>5</v>
      </c>
      <c r="C516">
        <v>80</v>
      </c>
      <c r="D516" s="1" t="s">
        <v>12</v>
      </c>
      <c r="E516">
        <v>1</v>
      </c>
      <c r="F516">
        <v>4.2999999999999997E-2</v>
      </c>
      <c r="G516" t="b">
        <f>OR(DM_Control_Error_Param__3[[#This Row],[aperture shift (% actuator pitch)]]&gt;10,DM_Control_Error_Param__3[[#This Row],[log-amplitude variance ]]&gt;0.1)</f>
        <v>0</v>
      </c>
    </row>
    <row r="517" spans="1:7" x14ac:dyDescent="0.25">
      <c r="A517" s="1" t="s">
        <v>10</v>
      </c>
      <c r="B517">
        <v>3</v>
      </c>
      <c r="C517">
        <v>0</v>
      </c>
      <c r="D517" s="1" t="s">
        <v>12</v>
      </c>
      <c r="E517">
        <v>0.5</v>
      </c>
      <c r="F517">
        <v>1.0999999999999999E-2</v>
      </c>
      <c r="G517" t="b">
        <f>OR(DM_Control_Error_Param__3[[#This Row],[aperture shift (% actuator pitch)]]&gt;10,DM_Control_Error_Param__3[[#This Row],[log-amplitude variance ]]&gt;0.1)</f>
        <v>0</v>
      </c>
    </row>
    <row r="518" spans="1:7" x14ac:dyDescent="0.25">
      <c r="A518" s="1" t="s">
        <v>10</v>
      </c>
      <c r="B518">
        <v>3</v>
      </c>
      <c r="C518">
        <v>30</v>
      </c>
      <c r="D518" s="1" t="s">
        <v>12</v>
      </c>
      <c r="E518">
        <v>0.5</v>
      </c>
      <c r="F518">
        <v>1.2E-2</v>
      </c>
      <c r="G518" t="b">
        <f>OR(DM_Control_Error_Param__3[[#This Row],[aperture shift (% actuator pitch)]]&gt;10,DM_Control_Error_Param__3[[#This Row],[log-amplitude variance ]]&gt;0.1)</f>
        <v>0</v>
      </c>
    </row>
    <row r="519" spans="1:7" x14ac:dyDescent="0.25">
      <c r="A519" s="1" t="s">
        <v>10</v>
      </c>
      <c r="B519">
        <v>3</v>
      </c>
      <c r="C519">
        <v>45</v>
      </c>
      <c r="D519" s="1" t="s">
        <v>12</v>
      </c>
      <c r="E519">
        <v>0.6</v>
      </c>
      <c r="F519">
        <v>1.6E-2</v>
      </c>
      <c r="G519" t="b">
        <f>OR(DM_Control_Error_Param__3[[#This Row],[aperture shift (% actuator pitch)]]&gt;10,DM_Control_Error_Param__3[[#This Row],[log-amplitude variance ]]&gt;0.1)</f>
        <v>0</v>
      </c>
    </row>
    <row r="520" spans="1:7" x14ac:dyDescent="0.25">
      <c r="A520" s="1" t="s">
        <v>10</v>
      </c>
      <c r="B520">
        <v>3</v>
      </c>
      <c r="C520">
        <v>60</v>
      </c>
      <c r="D520" s="1" t="s">
        <v>12</v>
      </c>
      <c r="E520">
        <v>0.8</v>
      </c>
      <c r="F520">
        <v>2.8000000000000001E-2</v>
      </c>
      <c r="G520" t="b">
        <f>OR(DM_Control_Error_Param__3[[#This Row],[aperture shift (% actuator pitch)]]&gt;10,DM_Control_Error_Param__3[[#This Row],[log-amplitude variance ]]&gt;0.1)</f>
        <v>0</v>
      </c>
    </row>
    <row r="521" spans="1:7" x14ac:dyDescent="0.25">
      <c r="A521" s="1" t="s">
        <v>10</v>
      </c>
      <c r="B521">
        <v>3</v>
      </c>
      <c r="C521">
        <v>70</v>
      </c>
      <c r="D521" s="1" t="s">
        <v>12</v>
      </c>
      <c r="E521">
        <v>0.9</v>
      </c>
      <c r="F521">
        <v>3.4000000000000002E-2</v>
      </c>
      <c r="G521" t="b">
        <f>OR(DM_Control_Error_Param__3[[#This Row],[aperture shift (% actuator pitch)]]&gt;10,DM_Control_Error_Param__3[[#This Row],[log-amplitude variance ]]&gt;0.1)</f>
        <v>0</v>
      </c>
    </row>
    <row r="522" spans="1:7" x14ac:dyDescent="0.25">
      <c r="A522" s="1" t="s">
        <v>10</v>
      </c>
      <c r="B522">
        <v>2</v>
      </c>
      <c r="C522">
        <v>0</v>
      </c>
      <c r="D522" s="1" t="s">
        <v>12</v>
      </c>
      <c r="E522">
        <v>0.7</v>
      </c>
      <c r="F522">
        <v>2.1999999999999999E-2</v>
      </c>
      <c r="G522" t="b">
        <f>OR(DM_Control_Error_Param__3[[#This Row],[aperture shift (% actuator pitch)]]&gt;10,DM_Control_Error_Param__3[[#This Row],[log-amplitude variance ]]&gt;0.1)</f>
        <v>0</v>
      </c>
    </row>
    <row r="523" spans="1:7" x14ac:dyDescent="0.25">
      <c r="A523" s="1" t="s">
        <v>10</v>
      </c>
      <c r="B523">
        <v>2</v>
      </c>
      <c r="C523">
        <v>30</v>
      </c>
      <c r="D523" s="1" t="s">
        <v>12</v>
      </c>
      <c r="E523">
        <v>0.7</v>
      </c>
      <c r="F523">
        <v>2.3E-2</v>
      </c>
      <c r="G523" t="b">
        <f>OR(DM_Control_Error_Param__3[[#This Row],[aperture shift (% actuator pitch)]]&gt;10,DM_Control_Error_Param__3[[#This Row],[log-amplitude variance ]]&gt;0.1)</f>
        <v>0</v>
      </c>
    </row>
    <row r="524" spans="1:7" x14ac:dyDescent="0.25">
      <c r="A524" s="1" t="s">
        <v>10</v>
      </c>
      <c r="B524">
        <v>2</v>
      </c>
      <c r="C524">
        <v>45</v>
      </c>
      <c r="D524" s="1" t="s">
        <v>12</v>
      </c>
      <c r="E524">
        <v>0.8</v>
      </c>
      <c r="F524">
        <v>3.1E-2</v>
      </c>
      <c r="G524" t="b">
        <f>OR(DM_Control_Error_Param__3[[#This Row],[aperture shift (% actuator pitch)]]&gt;10,DM_Control_Error_Param__3[[#This Row],[log-amplitude variance ]]&gt;0.1)</f>
        <v>0</v>
      </c>
    </row>
    <row r="525" spans="1:7" x14ac:dyDescent="0.25">
      <c r="A525" s="1" t="s">
        <v>10</v>
      </c>
      <c r="B525">
        <v>2</v>
      </c>
      <c r="C525">
        <v>60</v>
      </c>
      <c r="D525" s="1" t="s">
        <v>12</v>
      </c>
      <c r="E525">
        <v>1.1000000000000001</v>
      </c>
      <c r="F525">
        <v>5.5E-2</v>
      </c>
      <c r="G525" t="b">
        <f>OR(DM_Control_Error_Param__3[[#This Row],[aperture shift (% actuator pitch)]]&gt;10,DM_Control_Error_Param__3[[#This Row],[log-amplitude variance ]]&gt;0.1)</f>
        <v>0</v>
      </c>
    </row>
    <row r="526" spans="1:7" x14ac:dyDescent="0.25">
      <c r="A526" s="1" t="s">
        <v>10</v>
      </c>
      <c r="B526">
        <v>2</v>
      </c>
      <c r="C526">
        <v>70</v>
      </c>
      <c r="D526" s="1" t="s">
        <v>12</v>
      </c>
      <c r="E526">
        <v>1.2</v>
      </c>
      <c r="F526">
        <v>6.7000000000000004E-2</v>
      </c>
      <c r="G526" t="b">
        <f>OR(DM_Control_Error_Param__3[[#This Row],[aperture shift (% actuator pitch)]]&gt;10,DM_Control_Error_Param__3[[#This Row],[log-amplitude variance ]]&gt;0.1)</f>
        <v>0</v>
      </c>
    </row>
    <row r="527" spans="1:7" x14ac:dyDescent="0.25">
      <c r="A527" s="1" t="s">
        <v>15</v>
      </c>
      <c r="B527">
        <v>14</v>
      </c>
      <c r="C527">
        <v>0</v>
      </c>
      <c r="D527" s="1" t="s">
        <v>12</v>
      </c>
      <c r="E527">
        <v>0</v>
      </c>
      <c r="F527">
        <v>1E-3</v>
      </c>
      <c r="G527" t="b">
        <f>OR(DM_Control_Error_Param__3[[#This Row],[aperture shift (% actuator pitch)]]&gt;10,DM_Control_Error_Param__3[[#This Row],[log-amplitude variance ]]&gt;0.1)</f>
        <v>0</v>
      </c>
    </row>
    <row r="528" spans="1:7" x14ac:dyDescent="0.25">
      <c r="A528" s="1" t="s">
        <v>15</v>
      </c>
      <c r="B528">
        <v>14</v>
      </c>
      <c r="C528">
        <v>30</v>
      </c>
      <c r="D528" s="1" t="s">
        <v>12</v>
      </c>
      <c r="E528">
        <v>0.1</v>
      </c>
      <c r="F528">
        <v>1E-3</v>
      </c>
      <c r="G528" t="b">
        <f>OR(DM_Control_Error_Param__3[[#This Row],[aperture shift (% actuator pitch)]]&gt;10,DM_Control_Error_Param__3[[#This Row],[log-amplitude variance ]]&gt;0.1)</f>
        <v>0</v>
      </c>
    </row>
    <row r="529" spans="1:7" x14ac:dyDescent="0.25">
      <c r="A529" s="1" t="s">
        <v>15</v>
      </c>
      <c r="B529">
        <v>14</v>
      </c>
      <c r="C529">
        <v>45</v>
      </c>
      <c r="D529" s="1" t="s">
        <v>12</v>
      </c>
      <c r="E529">
        <v>0.1</v>
      </c>
      <c r="F529">
        <v>2E-3</v>
      </c>
      <c r="G529" t="b">
        <f>OR(DM_Control_Error_Param__3[[#This Row],[aperture shift (% actuator pitch)]]&gt;10,DM_Control_Error_Param__3[[#This Row],[log-amplitude variance ]]&gt;0.1)</f>
        <v>0</v>
      </c>
    </row>
    <row r="530" spans="1:7" x14ac:dyDescent="0.25">
      <c r="A530" s="1" t="s">
        <v>15</v>
      </c>
      <c r="B530">
        <v>14</v>
      </c>
      <c r="C530">
        <v>60</v>
      </c>
      <c r="D530" s="1" t="s">
        <v>12</v>
      </c>
      <c r="E530">
        <v>0.1</v>
      </c>
      <c r="F530">
        <v>3.0000000000000001E-3</v>
      </c>
      <c r="G530" t="b">
        <f>OR(DM_Control_Error_Param__3[[#This Row],[aperture shift (% actuator pitch)]]&gt;10,DM_Control_Error_Param__3[[#This Row],[log-amplitude variance ]]&gt;0.1)</f>
        <v>0</v>
      </c>
    </row>
    <row r="531" spans="1:7" x14ac:dyDescent="0.25">
      <c r="A531" s="1" t="s">
        <v>15</v>
      </c>
      <c r="B531">
        <v>14</v>
      </c>
      <c r="C531">
        <v>70</v>
      </c>
      <c r="D531" s="1" t="s">
        <v>12</v>
      </c>
      <c r="E531">
        <v>0.1</v>
      </c>
      <c r="F531">
        <v>5.0000000000000001E-3</v>
      </c>
      <c r="G531" t="b">
        <f>OR(DM_Control_Error_Param__3[[#This Row],[aperture shift (% actuator pitch)]]&gt;10,DM_Control_Error_Param__3[[#This Row],[log-amplitude variance ]]&gt;0.1)</f>
        <v>0</v>
      </c>
    </row>
    <row r="532" spans="1:7" x14ac:dyDescent="0.25">
      <c r="A532" s="1" t="s">
        <v>15</v>
      </c>
      <c r="B532">
        <v>14</v>
      </c>
      <c r="C532">
        <v>80</v>
      </c>
      <c r="D532" s="1" t="s">
        <v>12</v>
      </c>
      <c r="E532">
        <v>0.1</v>
      </c>
      <c r="F532">
        <v>1.0999999999999999E-2</v>
      </c>
      <c r="G532" t="b">
        <f>OR(DM_Control_Error_Param__3[[#This Row],[aperture shift (% actuator pitch)]]&gt;10,DM_Control_Error_Param__3[[#This Row],[log-amplitude variance ]]&gt;0.1)</f>
        <v>0</v>
      </c>
    </row>
    <row r="533" spans="1:7" x14ac:dyDescent="0.25">
      <c r="A533" s="1" t="s">
        <v>15</v>
      </c>
      <c r="B533">
        <v>11</v>
      </c>
      <c r="C533">
        <v>0</v>
      </c>
      <c r="D533" s="1" t="s">
        <v>12</v>
      </c>
      <c r="E533">
        <v>0.1</v>
      </c>
      <c r="F533">
        <v>2E-3</v>
      </c>
      <c r="G533" t="b">
        <f>OR(DM_Control_Error_Param__3[[#This Row],[aperture shift (% actuator pitch)]]&gt;10,DM_Control_Error_Param__3[[#This Row],[log-amplitude variance ]]&gt;0.1)</f>
        <v>0</v>
      </c>
    </row>
    <row r="534" spans="1:7" x14ac:dyDescent="0.25">
      <c r="A534" s="1" t="s">
        <v>15</v>
      </c>
      <c r="B534">
        <v>11</v>
      </c>
      <c r="C534">
        <v>30</v>
      </c>
      <c r="D534" s="1" t="s">
        <v>12</v>
      </c>
      <c r="E534">
        <v>0.1</v>
      </c>
      <c r="F534">
        <v>2E-3</v>
      </c>
      <c r="G534" t="b">
        <f>OR(DM_Control_Error_Param__3[[#This Row],[aperture shift (% actuator pitch)]]&gt;10,DM_Control_Error_Param__3[[#This Row],[log-amplitude variance ]]&gt;0.1)</f>
        <v>0</v>
      </c>
    </row>
    <row r="535" spans="1:7" x14ac:dyDescent="0.25">
      <c r="A535" s="1" t="s">
        <v>15</v>
      </c>
      <c r="B535">
        <v>11</v>
      </c>
      <c r="C535">
        <v>45</v>
      </c>
      <c r="D535" s="1" t="s">
        <v>12</v>
      </c>
      <c r="E535">
        <v>0.1</v>
      </c>
      <c r="F535">
        <v>3.0000000000000001E-3</v>
      </c>
      <c r="G535" t="b">
        <f>OR(DM_Control_Error_Param__3[[#This Row],[aperture shift (% actuator pitch)]]&gt;10,DM_Control_Error_Param__3[[#This Row],[log-amplitude variance ]]&gt;0.1)</f>
        <v>0</v>
      </c>
    </row>
    <row r="536" spans="1:7" x14ac:dyDescent="0.25">
      <c r="A536" s="1" t="s">
        <v>15</v>
      </c>
      <c r="B536">
        <v>11</v>
      </c>
      <c r="C536">
        <v>60</v>
      </c>
      <c r="D536" s="1" t="s">
        <v>12</v>
      </c>
      <c r="E536">
        <v>0.1</v>
      </c>
      <c r="F536">
        <v>4.0000000000000001E-3</v>
      </c>
      <c r="G536" t="b">
        <f>OR(DM_Control_Error_Param__3[[#This Row],[aperture shift (% actuator pitch)]]&gt;10,DM_Control_Error_Param__3[[#This Row],[log-amplitude variance ]]&gt;0.1)</f>
        <v>0</v>
      </c>
    </row>
    <row r="537" spans="1:7" x14ac:dyDescent="0.25">
      <c r="A537" s="1" t="s">
        <v>15</v>
      </c>
      <c r="B537">
        <v>11</v>
      </c>
      <c r="C537">
        <v>70</v>
      </c>
      <c r="D537" s="1" t="s">
        <v>12</v>
      </c>
      <c r="E537">
        <v>0.1</v>
      </c>
      <c r="F537">
        <v>7.0000000000000001E-3</v>
      </c>
      <c r="G537" t="b">
        <f>OR(DM_Control_Error_Param__3[[#This Row],[aperture shift (% actuator pitch)]]&gt;10,DM_Control_Error_Param__3[[#This Row],[log-amplitude variance ]]&gt;0.1)</f>
        <v>0</v>
      </c>
    </row>
    <row r="538" spans="1:7" x14ac:dyDescent="0.25">
      <c r="A538" s="1" t="s">
        <v>15</v>
      </c>
      <c r="B538">
        <v>11</v>
      </c>
      <c r="C538">
        <v>80</v>
      </c>
      <c r="D538" s="1" t="s">
        <v>12</v>
      </c>
      <c r="E538">
        <v>0.2</v>
      </c>
      <c r="F538">
        <v>1.6E-2</v>
      </c>
      <c r="G538" t="b">
        <f>OR(DM_Control_Error_Param__3[[#This Row],[aperture shift (% actuator pitch)]]&gt;10,DM_Control_Error_Param__3[[#This Row],[log-amplitude variance ]]&gt;0.1)</f>
        <v>0</v>
      </c>
    </row>
    <row r="539" spans="1:7" x14ac:dyDescent="0.25">
      <c r="A539" s="1" t="s">
        <v>15</v>
      </c>
      <c r="B539">
        <v>8</v>
      </c>
      <c r="C539">
        <v>0</v>
      </c>
      <c r="D539" s="1" t="s">
        <v>12</v>
      </c>
      <c r="E539">
        <v>0.1</v>
      </c>
      <c r="F539">
        <v>3.0000000000000001E-3</v>
      </c>
      <c r="G539" t="b">
        <f>OR(DM_Control_Error_Param__3[[#This Row],[aperture shift (% actuator pitch)]]&gt;10,DM_Control_Error_Param__3[[#This Row],[log-amplitude variance ]]&gt;0.1)</f>
        <v>0</v>
      </c>
    </row>
    <row r="540" spans="1:7" x14ac:dyDescent="0.25">
      <c r="A540" s="1" t="s">
        <v>15</v>
      </c>
      <c r="B540">
        <v>8</v>
      </c>
      <c r="C540">
        <v>30</v>
      </c>
      <c r="D540" s="1" t="s">
        <v>12</v>
      </c>
      <c r="E540">
        <v>0.1</v>
      </c>
      <c r="F540">
        <v>3.0000000000000001E-3</v>
      </c>
      <c r="G540" t="b">
        <f>OR(DM_Control_Error_Param__3[[#This Row],[aperture shift (% actuator pitch)]]&gt;10,DM_Control_Error_Param__3[[#This Row],[log-amplitude variance ]]&gt;0.1)</f>
        <v>0</v>
      </c>
    </row>
    <row r="541" spans="1:7" x14ac:dyDescent="0.25">
      <c r="A541" s="1" t="s">
        <v>15</v>
      </c>
      <c r="B541">
        <v>8</v>
      </c>
      <c r="C541">
        <v>45</v>
      </c>
      <c r="D541" s="1" t="s">
        <v>12</v>
      </c>
      <c r="E541">
        <v>0.1</v>
      </c>
      <c r="F541">
        <v>4.0000000000000001E-3</v>
      </c>
      <c r="G541" t="b">
        <f>OR(DM_Control_Error_Param__3[[#This Row],[aperture shift (% actuator pitch)]]&gt;10,DM_Control_Error_Param__3[[#This Row],[log-amplitude variance ]]&gt;0.1)</f>
        <v>0</v>
      </c>
    </row>
    <row r="542" spans="1:7" x14ac:dyDescent="0.25">
      <c r="A542" s="1" t="s">
        <v>15</v>
      </c>
      <c r="B542">
        <v>8</v>
      </c>
      <c r="C542">
        <v>60</v>
      </c>
      <c r="D542" s="1" t="s">
        <v>12</v>
      </c>
      <c r="E542">
        <v>0.1</v>
      </c>
      <c r="F542">
        <v>7.0000000000000001E-3</v>
      </c>
      <c r="G542" t="b">
        <f>OR(DM_Control_Error_Param__3[[#This Row],[aperture shift (% actuator pitch)]]&gt;10,DM_Control_Error_Param__3[[#This Row],[log-amplitude variance ]]&gt;0.1)</f>
        <v>0</v>
      </c>
    </row>
    <row r="543" spans="1:7" x14ac:dyDescent="0.25">
      <c r="A543" s="1" t="s">
        <v>15</v>
      </c>
      <c r="B543">
        <v>8</v>
      </c>
      <c r="C543">
        <v>70</v>
      </c>
      <c r="D543" s="1" t="s">
        <v>12</v>
      </c>
      <c r="E543">
        <v>0.2</v>
      </c>
      <c r="F543">
        <v>1.2999999999999999E-2</v>
      </c>
      <c r="G543" t="b">
        <f>OR(DM_Control_Error_Param__3[[#This Row],[aperture shift (% actuator pitch)]]&gt;10,DM_Control_Error_Param__3[[#This Row],[log-amplitude variance ]]&gt;0.1)</f>
        <v>0</v>
      </c>
    </row>
    <row r="544" spans="1:7" x14ac:dyDescent="0.25">
      <c r="A544" s="1" t="s">
        <v>15</v>
      </c>
      <c r="B544">
        <v>8</v>
      </c>
      <c r="C544">
        <v>80</v>
      </c>
      <c r="D544" s="1" t="s">
        <v>12</v>
      </c>
      <c r="E544">
        <v>0.2</v>
      </c>
      <c r="F544">
        <v>2.7E-2</v>
      </c>
      <c r="G544" t="b">
        <f>OR(DM_Control_Error_Param__3[[#This Row],[aperture shift (% actuator pitch)]]&gt;10,DM_Control_Error_Param__3[[#This Row],[log-amplitude variance ]]&gt;0.1)</f>
        <v>0</v>
      </c>
    </row>
    <row r="545" spans="1:7" x14ac:dyDescent="0.25">
      <c r="A545" s="1" t="s">
        <v>15</v>
      </c>
      <c r="B545">
        <v>5</v>
      </c>
      <c r="C545">
        <v>0</v>
      </c>
      <c r="D545" s="1" t="s">
        <v>12</v>
      </c>
      <c r="E545">
        <v>0.1</v>
      </c>
      <c r="F545">
        <v>7.0000000000000001E-3</v>
      </c>
      <c r="G545" t="b">
        <f>OR(DM_Control_Error_Param__3[[#This Row],[aperture shift (% actuator pitch)]]&gt;10,DM_Control_Error_Param__3[[#This Row],[log-amplitude variance ]]&gt;0.1)</f>
        <v>0</v>
      </c>
    </row>
    <row r="546" spans="1:7" x14ac:dyDescent="0.25">
      <c r="A546" s="1" t="s">
        <v>15</v>
      </c>
      <c r="B546">
        <v>5</v>
      </c>
      <c r="C546">
        <v>30</v>
      </c>
      <c r="D546" s="1" t="s">
        <v>12</v>
      </c>
      <c r="E546">
        <v>0.1</v>
      </c>
      <c r="F546">
        <v>7.0000000000000001E-3</v>
      </c>
      <c r="G546" t="b">
        <f>OR(DM_Control_Error_Param__3[[#This Row],[aperture shift (% actuator pitch)]]&gt;10,DM_Control_Error_Param__3[[#This Row],[log-amplitude variance ]]&gt;0.1)</f>
        <v>0</v>
      </c>
    </row>
    <row r="547" spans="1:7" x14ac:dyDescent="0.25">
      <c r="A547" s="1" t="s">
        <v>15</v>
      </c>
      <c r="B547">
        <v>5</v>
      </c>
      <c r="C547">
        <v>45</v>
      </c>
      <c r="D547" s="1" t="s">
        <v>12</v>
      </c>
      <c r="E547">
        <v>0.1</v>
      </c>
      <c r="F547">
        <v>0.01</v>
      </c>
      <c r="G547" t="b">
        <f>OR(DM_Control_Error_Param__3[[#This Row],[aperture shift (% actuator pitch)]]&gt;10,DM_Control_Error_Param__3[[#This Row],[log-amplitude variance ]]&gt;0.1)</f>
        <v>0</v>
      </c>
    </row>
    <row r="548" spans="1:7" x14ac:dyDescent="0.25">
      <c r="A548" s="1" t="s">
        <v>15</v>
      </c>
      <c r="B548">
        <v>5</v>
      </c>
      <c r="C548">
        <v>60</v>
      </c>
      <c r="D548" s="1" t="s">
        <v>12</v>
      </c>
      <c r="E548">
        <v>0.2</v>
      </c>
      <c r="F548">
        <v>1.6E-2</v>
      </c>
      <c r="G548" t="b">
        <f>OR(DM_Control_Error_Param__3[[#This Row],[aperture shift (% actuator pitch)]]&gt;10,DM_Control_Error_Param__3[[#This Row],[log-amplitude variance ]]&gt;0.1)</f>
        <v>0</v>
      </c>
    </row>
    <row r="549" spans="1:7" x14ac:dyDescent="0.25">
      <c r="A549" s="1" t="s">
        <v>15</v>
      </c>
      <c r="B549">
        <v>5</v>
      </c>
      <c r="C549">
        <v>70</v>
      </c>
      <c r="D549" s="1" t="s">
        <v>12</v>
      </c>
      <c r="E549">
        <v>0.2</v>
      </c>
      <c r="F549">
        <v>2.8000000000000001E-2</v>
      </c>
      <c r="G549" t="b">
        <f>OR(DM_Control_Error_Param__3[[#This Row],[aperture shift (% actuator pitch)]]&gt;10,DM_Control_Error_Param__3[[#This Row],[log-amplitude variance ]]&gt;0.1)</f>
        <v>0</v>
      </c>
    </row>
    <row r="550" spans="1:7" x14ac:dyDescent="0.25">
      <c r="A550" s="1" t="s">
        <v>15</v>
      </c>
      <c r="B550">
        <v>5</v>
      </c>
      <c r="C550">
        <v>80</v>
      </c>
      <c r="D550" s="1" t="s">
        <v>12</v>
      </c>
      <c r="E550">
        <v>0.3</v>
      </c>
      <c r="F550">
        <v>5.8999999999999997E-2</v>
      </c>
      <c r="G550" t="b">
        <f>OR(DM_Control_Error_Param__3[[#This Row],[aperture shift (% actuator pitch)]]&gt;10,DM_Control_Error_Param__3[[#This Row],[log-amplitude variance ]]&gt;0.1)</f>
        <v>0</v>
      </c>
    </row>
    <row r="551" spans="1:7" x14ac:dyDescent="0.25">
      <c r="A551" s="1" t="s">
        <v>15</v>
      </c>
      <c r="B551">
        <v>3</v>
      </c>
      <c r="C551">
        <v>0</v>
      </c>
      <c r="D551" s="1" t="s">
        <v>12</v>
      </c>
      <c r="E551">
        <v>0.2</v>
      </c>
      <c r="F551">
        <v>1.7000000000000001E-2</v>
      </c>
      <c r="G551" t="b">
        <f>OR(DM_Control_Error_Param__3[[#This Row],[aperture shift (% actuator pitch)]]&gt;10,DM_Control_Error_Param__3[[#This Row],[log-amplitude variance ]]&gt;0.1)</f>
        <v>0</v>
      </c>
    </row>
    <row r="552" spans="1:7" x14ac:dyDescent="0.25">
      <c r="A552" s="1" t="s">
        <v>15</v>
      </c>
      <c r="B552">
        <v>3</v>
      </c>
      <c r="C552">
        <v>30</v>
      </c>
      <c r="D552" s="1" t="s">
        <v>12</v>
      </c>
      <c r="E552">
        <v>0.2</v>
      </c>
      <c r="F552">
        <v>1.7000000000000001E-2</v>
      </c>
      <c r="G552" t="b">
        <f>OR(DM_Control_Error_Param__3[[#This Row],[aperture shift (% actuator pitch)]]&gt;10,DM_Control_Error_Param__3[[#This Row],[log-amplitude variance ]]&gt;0.1)</f>
        <v>0</v>
      </c>
    </row>
    <row r="553" spans="1:7" x14ac:dyDescent="0.25">
      <c r="A553" s="1" t="s">
        <v>15</v>
      </c>
      <c r="B553">
        <v>3</v>
      </c>
      <c r="C553">
        <v>45</v>
      </c>
      <c r="D553" s="1" t="s">
        <v>12</v>
      </c>
      <c r="E553">
        <v>0.2</v>
      </c>
      <c r="F553">
        <v>2.3E-2</v>
      </c>
      <c r="G553" t="b">
        <f>OR(DM_Control_Error_Param__3[[#This Row],[aperture shift (% actuator pitch)]]&gt;10,DM_Control_Error_Param__3[[#This Row],[log-amplitude variance ]]&gt;0.1)</f>
        <v>0</v>
      </c>
    </row>
    <row r="554" spans="1:7" x14ac:dyDescent="0.25">
      <c r="A554" s="1" t="s">
        <v>15</v>
      </c>
      <c r="B554">
        <v>3</v>
      </c>
      <c r="C554">
        <v>60</v>
      </c>
      <c r="D554" s="1" t="s">
        <v>12</v>
      </c>
      <c r="E554">
        <v>0.3</v>
      </c>
      <c r="F554">
        <v>3.6999999999999998E-2</v>
      </c>
      <c r="G554" t="b">
        <f>OR(DM_Control_Error_Param__3[[#This Row],[aperture shift (% actuator pitch)]]&gt;10,DM_Control_Error_Param__3[[#This Row],[log-amplitude variance ]]&gt;0.1)</f>
        <v>0</v>
      </c>
    </row>
    <row r="555" spans="1:7" x14ac:dyDescent="0.25">
      <c r="A555" s="1" t="s">
        <v>15</v>
      </c>
      <c r="B555">
        <v>3</v>
      </c>
      <c r="C555">
        <v>70</v>
      </c>
      <c r="D555" s="1" t="s">
        <v>12</v>
      </c>
      <c r="E555">
        <v>0.4</v>
      </c>
      <c r="F555">
        <v>6.4000000000000001E-2</v>
      </c>
      <c r="G555" t="b">
        <f>OR(DM_Control_Error_Param__3[[#This Row],[aperture shift (% actuator pitch)]]&gt;10,DM_Control_Error_Param__3[[#This Row],[log-amplitude variance ]]&gt;0.1)</f>
        <v>0</v>
      </c>
    </row>
    <row r="556" spans="1:7" x14ac:dyDescent="0.25">
      <c r="A556" s="1" t="s">
        <v>15</v>
      </c>
      <c r="B556">
        <v>2</v>
      </c>
      <c r="C556">
        <v>0</v>
      </c>
      <c r="D556" s="1" t="s">
        <v>12</v>
      </c>
      <c r="E556">
        <v>0.3</v>
      </c>
      <c r="F556">
        <v>3.2000000000000001E-2</v>
      </c>
      <c r="G556" t="b">
        <f>OR(DM_Control_Error_Param__3[[#This Row],[aperture shift (% actuator pitch)]]&gt;10,DM_Control_Error_Param__3[[#This Row],[log-amplitude variance ]]&gt;0.1)</f>
        <v>0</v>
      </c>
    </row>
    <row r="557" spans="1:7" x14ac:dyDescent="0.25">
      <c r="A557" s="1" t="s">
        <v>15</v>
      </c>
      <c r="B557">
        <v>2</v>
      </c>
      <c r="C557">
        <v>30</v>
      </c>
      <c r="D557" s="1" t="s">
        <v>12</v>
      </c>
      <c r="E557">
        <v>0.3</v>
      </c>
      <c r="F557">
        <v>3.4000000000000002E-2</v>
      </c>
      <c r="G557" t="b">
        <f>OR(DM_Control_Error_Param__3[[#This Row],[aperture shift (% actuator pitch)]]&gt;10,DM_Control_Error_Param__3[[#This Row],[log-amplitude variance ]]&gt;0.1)</f>
        <v>0</v>
      </c>
    </row>
    <row r="558" spans="1:7" x14ac:dyDescent="0.25">
      <c r="A558" s="1" t="s">
        <v>15</v>
      </c>
      <c r="B558">
        <v>2</v>
      </c>
      <c r="C558">
        <v>45</v>
      </c>
      <c r="D558" s="1" t="s">
        <v>12</v>
      </c>
      <c r="E558">
        <v>0.3</v>
      </c>
      <c r="F558">
        <v>4.3999999999999997E-2</v>
      </c>
      <c r="G558" t="b">
        <f>OR(DM_Control_Error_Param__3[[#This Row],[aperture shift (% actuator pitch)]]&gt;10,DM_Control_Error_Param__3[[#This Row],[log-amplitude variance ]]&gt;0.1)</f>
        <v>0</v>
      </c>
    </row>
    <row r="559" spans="1:7" x14ac:dyDescent="0.25">
      <c r="A559" s="1" t="s">
        <v>15</v>
      </c>
      <c r="B559">
        <v>2</v>
      </c>
      <c r="C559">
        <v>60</v>
      </c>
      <c r="D559" s="1" t="s">
        <v>12</v>
      </c>
      <c r="E559">
        <v>0.4</v>
      </c>
      <c r="F559">
        <v>7.2999999999999995E-2</v>
      </c>
      <c r="G559" t="b">
        <f>OR(DM_Control_Error_Param__3[[#This Row],[aperture shift (% actuator pitch)]]&gt;10,DM_Control_Error_Param__3[[#This Row],[log-amplitude variance ]]&gt;0.1)</f>
        <v>0</v>
      </c>
    </row>
    <row r="560" spans="1:7" x14ac:dyDescent="0.25">
      <c r="A560" s="1" t="s">
        <v>6</v>
      </c>
      <c r="B560">
        <v>14</v>
      </c>
      <c r="C560">
        <v>0</v>
      </c>
      <c r="D560" s="1" t="s">
        <v>9</v>
      </c>
      <c r="E560">
        <v>0.1</v>
      </c>
      <c r="F560">
        <v>0</v>
      </c>
      <c r="G560" t="b">
        <f>OR(DM_Control_Error_Param__3[[#This Row],[aperture shift (% actuator pitch)]]&gt;10,DM_Control_Error_Param__3[[#This Row],[log-amplitude variance ]]&gt;0.1)</f>
        <v>0</v>
      </c>
    </row>
    <row r="561" spans="1:7" x14ac:dyDescent="0.25">
      <c r="A561" s="1" t="s">
        <v>6</v>
      </c>
      <c r="B561">
        <v>14</v>
      </c>
      <c r="C561">
        <v>30</v>
      </c>
      <c r="D561" s="1" t="s">
        <v>9</v>
      </c>
      <c r="E561">
        <v>0.1</v>
      </c>
      <c r="F561">
        <v>0</v>
      </c>
      <c r="G561" t="b">
        <f>OR(DM_Control_Error_Param__3[[#This Row],[aperture shift (% actuator pitch)]]&gt;10,DM_Control_Error_Param__3[[#This Row],[log-amplitude variance ]]&gt;0.1)</f>
        <v>0</v>
      </c>
    </row>
    <row r="562" spans="1:7" x14ac:dyDescent="0.25">
      <c r="A562" s="1" t="s">
        <v>6</v>
      </c>
      <c r="B562">
        <v>14</v>
      </c>
      <c r="C562">
        <v>45</v>
      </c>
      <c r="D562" s="1" t="s">
        <v>9</v>
      </c>
      <c r="E562">
        <v>0.2</v>
      </c>
      <c r="F562">
        <v>1E-3</v>
      </c>
      <c r="G562" t="b">
        <f>OR(DM_Control_Error_Param__3[[#This Row],[aperture shift (% actuator pitch)]]&gt;10,DM_Control_Error_Param__3[[#This Row],[log-amplitude variance ]]&gt;0.1)</f>
        <v>0</v>
      </c>
    </row>
    <row r="563" spans="1:7" x14ac:dyDescent="0.25">
      <c r="A563" s="1" t="s">
        <v>6</v>
      </c>
      <c r="B563">
        <v>14</v>
      </c>
      <c r="C563">
        <v>60</v>
      </c>
      <c r="D563" s="1" t="s">
        <v>9</v>
      </c>
      <c r="E563">
        <v>0.2</v>
      </c>
      <c r="F563">
        <v>1E-3</v>
      </c>
      <c r="G563" t="b">
        <f>OR(DM_Control_Error_Param__3[[#This Row],[aperture shift (% actuator pitch)]]&gt;10,DM_Control_Error_Param__3[[#This Row],[log-amplitude variance ]]&gt;0.1)</f>
        <v>0</v>
      </c>
    </row>
    <row r="564" spans="1:7" x14ac:dyDescent="0.25">
      <c r="A564" s="1" t="s">
        <v>6</v>
      </c>
      <c r="B564">
        <v>14</v>
      </c>
      <c r="C564">
        <v>70</v>
      </c>
      <c r="D564" s="1" t="s">
        <v>9</v>
      </c>
      <c r="E564">
        <v>0.2</v>
      </c>
      <c r="F564">
        <v>1E-3</v>
      </c>
      <c r="G564" t="b">
        <f>OR(DM_Control_Error_Param__3[[#This Row],[aperture shift (% actuator pitch)]]&gt;10,DM_Control_Error_Param__3[[#This Row],[log-amplitude variance ]]&gt;0.1)</f>
        <v>0</v>
      </c>
    </row>
    <row r="565" spans="1:7" x14ac:dyDescent="0.25">
      <c r="A565" s="1" t="s">
        <v>6</v>
      </c>
      <c r="B565">
        <v>14</v>
      </c>
      <c r="C565">
        <v>80</v>
      </c>
      <c r="D565" s="1" t="s">
        <v>9</v>
      </c>
      <c r="E565">
        <v>0.6</v>
      </c>
      <c r="F565">
        <v>7.0000000000000001E-3</v>
      </c>
      <c r="G565" t="b">
        <f>OR(DM_Control_Error_Param__3[[#This Row],[aperture shift (% actuator pitch)]]&gt;10,DM_Control_Error_Param__3[[#This Row],[log-amplitude variance ]]&gt;0.1)</f>
        <v>0</v>
      </c>
    </row>
    <row r="566" spans="1:7" x14ac:dyDescent="0.25">
      <c r="A566" s="1" t="s">
        <v>6</v>
      </c>
      <c r="B566">
        <v>11</v>
      </c>
      <c r="C566">
        <v>0</v>
      </c>
      <c r="D566" s="1" t="s">
        <v>9</v>
      </c>
      <c r="E566">
        <v>0.2</v>
      </c>
      <c r="F566">
        <v>1E-3</v>
      </c>
      <c r="G566" t="b">
        <f>OR(DM_Control_Error_Param__3[[#This Row],[aperture shift (% actuator pitch)]]&gt;10,DM_Control_Error_Param__3[[#This Row],[log-amplitude variance ]]&gt;0.1)</f>
        <v>0</v>
      </c>
    </row>
    <row r="567" spans="1:7" x14ac:dyDescent="0.25">
      <c r="A567" s="1" t="s">
        <v>6</v>
      </c>
      <c r="B567">
        <v>11</v>
      </c>
      <c r="C567">
        <v>30</v>
      </c>
      <c r="D567" s="1" t="s">
        <v>9</v>
      </c>
      <c r="E567">
        <v>0.2</v>
      </c>
      <c r="F567">
        <v>1E-3</v>
      </c>
      <c r="G567" t="b">
        <f>OR(DM_Control_Error_Param__3[[#This Row],[aperture shift (% actuator pitch)]]&gt;10,DM_Control_Error_Param__3[[#This Row],[log-amplitude variance ]]&gt;0.1)</f>
        <v>0</v>
      </c>
    </row>
    <row r="568" spans="1:7" x14ac:dyDescent="0.25">
      <c r="A568" s="1" t="s">
        <v>6</v>
      </c>
      <c r="B568">
        <v>11</v>
      </c>
      <c r="C568">
        <v>45</v>
      </c>
      <c r="D568" s="1" t="s">
        <v>9</v>
      </c>
      <c r="E568">
        <v>0.2</v>
      </c>
      <c r="F568">
        <v>1E-3</v>
      </c>
      <c r="G568" t="b">
        <f>OR(DM_Control_Error_Param__3[[#This Row],[aperture shift (% actuator pitch)]]&gt;10,DM_Control_Error_Param__3[[#This Row],[log-amplitude variance ]]&gt;0.1)</f>
        <v>0</v>
      </c>
    </row>
    <row r="569" spans="1:7" x14ac:dyDescent="0.25">
      <c r="A569" s="1" t="s">
        <v>6</v>
      </c>
      <c r="B569">
        <v>11</v>
      </c>
      <c r="C569">
        <v>60</v>
      </c>
      <c r="D569" s="1" t="s">
        <v>9</v>
      </c>
      <c r="E569">
        <v>0.3</v>
      </c>
      <c r="F569">
        <v>2E-3</v>
      </c>
      <c r="G569" t="b">
        <f>OR(DM_Control_Error_Param__3[[#This Row],[aperture shift (% actuator pitch)]]&gt;10,DM_Control_Error_Param__3[[#This Row],[log-amplitude variance ]]&gt;0.1)</f>
        <v>0</v>
      </c>
    </row>
    <row r="570" spans="1:7" x14ac:dyDescent="0.25">
      <c r="A570" s="1" t="s">
        <v>6</v>
      </c>
      <c r="B570">
        <v>11</v>
      </c>
      <c r="C570">
        <v>70</v>
      </c>
      <c r="D570" s="1" t="s">
        <v>9</v>
      </c>
      <c r="E570">
        <v>0.3</v>
      </c>
      <c r="F570">
        <v>2E-3</v>
      </c>
      <c r="G570" t="b">
        <f>OR(DM_Control_Error_Param__3[[#This Row],[aperture shift (% actuator pitch)]]&gt;10,DM_Control_Error_Param__3[[#This Row],[log-amplitude variance ]]&gt;0.1)</f>
        <v>0</v>
      </c>
    </row>
    <row r="571" spans="1:7" x14ac:dyDescent="0.25">
      <c r="A571" s="1" t="s">
        <v>6</v>
      </c>
      <c r="B571">
        <v>11</v>
      </c>
      <c r="C571">
        <v>80</v>
      </c>
      <c r="D571" s="1" t="s">
        <v>9</v>
      </c>
      <c r="E571">
        <v>0.7</v>
      </c>
      <c r="F571">
        <v>0.01</v>
      </c>
      <c r="G571" t="b">
        <f>OR(DM_Control_Error_Param__3[[#This Row],[aperture shift (% actuator pitch)]]&gt;10,DM_Control_Error_Param__3[[#This Row],[log-amplitude variance ]]&gt;0.1)</f>
        <v>0</v>
      </c>
    </row>
    <row r="572" spans="1:7" x14ac:dyDescent="0.25">
      <c r="A572" s="1" t="s">
        <v>6</v>
      </c>
      <c r="B572">
        <v>8</v>
      </c>
      <c r="C572">
        <v>0</v>
      </c>
      <c r="D572" s="1" t="s">
        <v>9</v>
      </c>
      <c r="E572">
        <v>0.2</v>
      </c>
      <c r="F572">
        <v>1E-3</v>
      </c>
      <c r="G572" t="b">
        <f>OR(DM_Control_Error_Param__3[[#This Row],[aperture shift (% actuator pitch)]]&gt;10,DM_Control_Error_Param__3[[#This Row],[log-amplitude variance ]]&gt;0.1)</f>
        <v>0</v>
      </c>
    </row>
    <row r="573" spans="1:7" x14ac:dyDescent="0.25">
      <c r="A573" s="1" t="s">
        <v>6</v>
      </c>
      <c r="B573">
        <v>8</v>
      </c>
      <c r="C573">
        <v>30</v>
      </c>
      <c r="D573" s="1" t="s">
        <v>9</v>
      </c>
      <c r="E573">
        <v>0.2</v>
      </c>
      <c r="F573">
        <v>1E-3</v>
      </c>
      <c r="G573" t="b">
        <f>OR(DM_Control_Error_Param__3[[#This Row],[aperture shift (% actuator pitch)]]&gt;10,DM_Control_Error_Param__3[[#This Row],[log-amplitude variance ]]&gt;0.1)</f>
        <v>0</v>
      </c>
    </row>
    <row r="574" spans="1:7" x14ac:dyDescent="0.25">
      <c r="A574" s="1" t="s">
        <v>6</v>
      </c>
      <c r="B574">
        <v>8</v>
      </c>
      <c r="C574">
        <v>45</v>
      </c>
      <c r="D574" s="1" t="s">
        <v>9</v>
      </c>
      <c r="E574">
        <v>0.3</v>
      </c>
      <c r="F574">
        <v>2E-3</v>
      </c>
      <c r="G574" t="b">
        <f>OR(DM_Control_Error_Param__3[[#This Row],[aperture shift (% actuator pitch)]]&gt;10,DM_Control_Error_Param__3[[#This Row],[log-amplitude variance ]]&gt;0.1)</f>
        <v>0</v>
      </c>
    </row>
    <row r="575" spans="1:7" x14ac:dyDescent="0.25">
      <c r="A575" s="1" t="s">
        <v>6</v>
      </c>
      <c r="B575">
        <v>8</v>
      </c>
      <c r="C575">
        <v>60</v>
      </c>
      <c r="D575" s="1" t="s">
        <v>9</v>
      </c>
      <c r="E575">
        <v>0.3</v>
      </c>
      <c r="F575">
        <v>3.0000000000000001E-3</v>
      </c>
      <c r="G575" t="b">
        <f>OR(DM_Control_Error_Param__3[[#This Row],[aperture shift (% actuator pitch)]]&gt;10,DM_Control_Error_Param__3[[#This Row],[log-amplitude variance ]]&gt;0.1)</f>
        <v>0</v>
      </c>
    </row>
    <row r="576" spans="1:7" x14ac:dyDescent="0.25">
      <c r="A576" s="1" t="s">
        <v>6</v>
      </c>
      <c r="B576">
        <v>8</v>
      </c>
      <c r="C576">
        <v>70</v>
      </c>
      <c r="D576" s="1" t="s">
        <v>9</v>
      </c>
      <c r="E576">
        <v>0.4</v>
      </c>
      <c r="F576">
        <v>3.0000000000000001E-3</v>
      </c>
      <c r="G576" t="b">
        <f>OR(DM_Control_Error_Param__3[[#This Row],[aperture shift (% actuator pitch)]]&gt;10,DM_Control_Error_Param__3[[#This Row],[log-amplitude variance ]]&gt;0.1)</f>
        <v>0</v>
      </c>
    </row>
    <row r="577" spans="1:7" x14ac:dyDescent="0.25">
      <c r="A577" s="1" t="s">
        <v>6</v>
      </c>
      <c r="B577">
        <v>8</v>
      </c>
      <c r="C577">
        <v>80</v>
      </c>
      <c r="D577" s="1" t="s">
        <v>9</v>
      </c>
      <c r="E577">
        <v>0.9</v>
      </c>
      <c r="F577">
        <v>1.7999999999999999E-2</v>
      </c>
      <c r="G577" t="b">
        <f>OR(DM_Control_Error_Param__3[[#This Row],[aperture shift (% actuator pitch)]]&gt;10,DM_Control_Error_Param__3[[#This Row],[log-amplitude variance ]]&gt;0.1)</f>
        <v>0</v>
      </c>
    </row>
    <row r="578" spans="1:7" x14ac:dyDescent="0.25">
      <c r="A578" s="1" t="s">
        <v>6</v>
      </c>
      <c r="B578">
        <v>5</v>
      </c>
      <c r="C578">
        <v>0</v>
      </c>
      <c r="D578" s="1" t="s">
        <v>9</v>
      </c>
      <c r="E578">
        <v>0.3</v>
      </c>
      <c r="F578">
        <v>2E-3</v>
      </c>
      <c r="G578" t="b">
        <f>OR(DM_Control_Error_Param__3[[#This Row],[aperture shift (% actuator pitch)]]&gt;10,DM_Control_Error_Param__3[[#This Row],[log-amplitude variance ]]&gt;0.1)</f>
        <v>0</v>
      </c>
    </row>
    <row r="579" spans="1:7" x14ac:dyDescent="0.25">
      <c r="A579" s="1" t="s">
        <v>6</v>
      </c>
      <c r="B579">
        <v>5</v>
      </c>
      <c r="C579">
        <v>30</v>
      </c>
      <c r="D579" s="1" t="s">
        <v>9</v>
      </c>
      <c r="E579">
        <v>0.3</v>
      </c>
      <c r="F579">
        <v>3.0000000000000001E-3</v>
      </c>
      <c r="G579" t="b">
        <f>OR(DM_Control_Error_Param__3[[#This Row],[aperture shift (% actuator pitch)]]&gt;10,DM_Control_Error_Param__3[[#This Row],[log-amplitude variance ]]&gt;0.1)</f>
        <v>0</v>
      </c>
    </row>
    <row r="580" spans="1:7" x14ac:dyDescent="0.25">
      <c r="A580" s="1" t="s">
        <v>6</v>
      </c>
      <c r="B580">
        <v>5</v>
      </c>
      <c r="C580">
        <v>45</v>
      </c>
      <c r="D580" s="1" t="s">
        <v>9</v>
      </c>
      <c r="E580">
        <v>0.4</v>
      </c>
      <c r="F580">
        <v>4.0000000000000001E-3</v>
      </c>
      <c r="G580" t="b">
        <f>OR(DM_Control_Error_Param__3[[#This Row],[aperture shift (% actuator pitch)]]&gt;10,DM_Control_Error_Param__3[[#This Row],[log-amplitude variance ]]&gt;0.1)</f>
        <v>0</v>
      </c>
    </row>
    <row r="581" spans="1:7" x14ac:dyDescent="0.25">
      <c r="A581" s="1" t="s">
        <v>6</v>
      </c>
      <c r="B581">
        <v>5</v>
      </c>
      <c r="C581">
        <v>60</v>
      </c>
      <c r="D581" s="1" t="s">
        <v>9</v>
      </c>
      <c r="E581">
        <v>0.5</v>
      </c>
      <c r="F581">
        <v>6.0000000000000001E-3</v>
      </c>
      <c r="G581" t="b">
        <f>OR(DM_Control_Error_Param__3[[#This Row],[aperture shift (% actuator pitch)]]&gt;10,DM_Control_Error_Param__3[[#This Row],[log-amplitude variance ]]&gt;0.1)</f>
        <v>0</v>
      </c>
    </row>
    <row r="582" spans="1:7" x14ac:dyDescent="0.25">
      <c r="A582" s="1" t="s">
        <v>6</v>
      </c>
      <c r="B582">
        <v>5</v>
      </c>
      <c r="C582">
        <v>70</v>
      </c>
      <c r="D582" s="1" t="s">
        <v>9</v>
      </c>
      <c r="E582">
        <v>0.6</v>
      </c>
      <c r="F582">
        <v>7.0000000000000001E-3</v>
      </c>
      <c r="G582" t="b">
        <f>OR(DM_Control_Error_Param__3[[#This Row],[aperture shift (% actuator pitch)]]&gt;10,DM_Control_Error_Param__3[[#This Row],[log-amplitude variance ]]&gt;0.1)</f>
        <v>0</v>
      </c>
    </row>
    <row r="583" spans="1:7" x14ac:dyDescent="0.25">
      <c r="A583" s="1" t="s">
        <v>6</v>
      </c>
      <c r="B583">
        <v>5</v>
      </c>
      <c r="C583">
        <v>80</v>
      </c>
      <c r="D583" s="1" t="s">
        <v>9</v>
      </c>
      <c r="E583">
        <v>1.3</v>
      </c>
      <c r="F583">
        <v>3.9E-2</v>
      </c>
      <c r="G583" t="b">
        <f>OR(DM_Control_Error_Param__3[[#This Row],[aperture shift (% actuator pitch)]]&gt;10,DM_Control_Error_Param__3[[#This Row],[log-amplitude variance ]]&gt;0.1)</f>
        <v>0</v>
      </c>
    </row>
    <row r="584" spans="1:7" x14ac:dyDescent="0.25">
      <c r="A584" s="1" t="s">
        <v>6</v>
      </c>
      <c r="B584">
        <v>3</v>
      </c>
      <c r="C584">
        <v>0</v>
      </c>
      <c r="D584" s="1" t="s">
        <v>9</v>
      </c>
      <c r="E584">
        <v>0.5</v>
      </c>
      <c r="F584">
        <v>5.0000000000000001E-3</v>
      </c>
      <c r="G584" t="b">
        <f>OR(DM_Control_Error_Param__3[[#This Row],[aperture shift (% actuator pitch)]]&gt;10,DM_Control_Error_Param__3[[#This Row],[log-amplitude variance ]]&gt;0.1)</f>
        <v>0</v>
      </c>
    </row>
    <row r="585" spans="1:7" x14ac:dyDescent="0.25">
      <c r="A585" s="1" t="s">
        <v>6</v>
      </c>
      <c r="B585">
        <v>3</v>
      </c>
      <c r="C585">
        <v>30</v>
      </c>
      <c r="D585" s="1" t="s">
        <v>9</v>
      </c>
      <c r="E585">
        <v>0.5</v>
      </c>
      <c r="F585">
        <v>6.0000000000000001E-3</v>
      </c>
      <c r="G585" t="b">
        <f>OR(DM_Control_Error_Param__3[[#This Row],[aperture shift (% actuator pitch)]]&gt;10,DM_Control_Error_Param__3[[#This Row],[log-amplitude variance ]]&gt;0.1)</f>
        <v>0</v>
      </c>
    </row>
    <row r="586" spans="1:7" x14ac:dyDescent="0.25">
      <c r="A586" s="1" t="s">
        <v>6</v>
      </c>
      <c r="B586">
        <v>3</v>
      </c>
      <c r="C586">
        <v>45</v>
      </c>
      <c r="D586" s="1" t="s">
        <v>9</v>
      </c>
      <c r="E586">
        <v>0.7</v>
      </c>
      <c r="F586">
        <v>0.01</v>
      </c>
      <c r="G586" t="b">
        <f>OR(DM_Control_Error_Param__3[[#This Row],[aperture shift (% actuator pitch)]]&gt;10,DM_Control_Error_Param__3[[#This Row],[log-amplitude variance ]]&gt;0.1)</f>
        <v>0</v>
      </c>
    </row>
    <row r="587" spans="1:7" x14ac:dyDescent="0.25">
      <c r="A587" s="1" t="s">
        <v>6</v>
      </c>
      <c r="B587">
        <v>3</v>
      </c>
      <c r="C587">
        <v>60</v>
      </c>
      <c r="D587" s="1" t="s">
        <v>9</v>
      </c>
      <c r="E587">
        <v>0.8</v>
      </c>
      <c r="F587">
        <v>1.2999999999999999E-2</v>
      </c>
      <c r="G587" t="b">
        <f>OR(DM_Control_Error_Param__3[[#This Row],[aperture shift (% actuator pitch)]]&gt;10,DM_Control_Error_Param__3[[#This Row],[log-amplitude variance ]]&gt;0.1)</f>
        <v>0</v>
      </c>
    </row>
    <row r="588" spans="1:7" x14ac:dyDescent="0.25">
      <c r="A588" s="1" t="s">
        <v>6</v>
      </c>
      <c r="B588">
        <v>3</v>
      </c>
      <c r="C588">
        <v>70</v>
      </c>
      <c r="D588" s="1" t="s">
        <v>9</v>
      </c>
      <c r="E588">
        <v>0.9</v>
      </c>
      <c r="F588">
        <v>1.7000000000000001E-2</v>
      </c>
      <c r="G588" t="b">
        <f>OR(DM_Control_Error_Param__3[[#This Row],[aperture shift (% actuator pitch)]]&gt;10,DM_Control_Error_Param__3[[#This Row],[log-amplitude variance ]]&gt;0.1)</f>
        <v>0</v>
      </c>
    </row>
    <row r="589" spans="1:7" x14ac:dyDescent="0.25">
      <c r="A589" s="1" t="s">
        <v>6</v>
      </c>
      <c r="B589">
        <v>3</v>
      </c>
      <c r="C589">
        <v>80</v>
      </c>
      <c r="D589" s="1" t="s">
        <v>9</v>
      </c>
      <c r="E589">
        <v>2</v>
      </c>
      <c r="F589">
        <v>9.0999999999999998E-2</v>
      </c>
      <c r="G589" t="b">
        <f>OR(DM_Control_Error_Param__3[[#This Row],[aperture shift (% actuator pitch)]]&gt;10,DM_Control_Error_Param__3[[#This Row],[log-amplitude variance ]]&gt;0.1)</f>
        <v>0</v>
      </c>
    </row>
    <row r="590" spans="1:7" x14ac:dyDescent="0.25">
      <c r="A590" s="1" t="s">
        <v>6</v>
      </c>
      <c r="B590">
        <v>2</v>
      </c>
      <c r="C590">
        <v>0</v>
      </c>
      <c r="D590" s="1" t="s">
        <v>9</v>
      </c>
      <c r="E590">
        <v>0.7</v>
      </c>
      <c r="F590">
        <v>0.01</v>
      </c>
      <c r="G590" t="b">
        <f>OR(DM_Control_Error_Param__3[[#This Row],[aperture shift (% actuator pitch)]]&gt;10,DM_Control_Error_Param__3[[#This Row],[log-amplitude variance ]]&gt;0.1)</f>
        <v>0</v>
      </c>
    </row>
    <row r="591" spans="1:7" x14ac:dyDescent="0.25">
      <c r="A591" s="1" t="s">
        <v>6</v>
      </c>
      <c r="B591">
        <v>2</v>
      </c>
      <c r="C591">
        <v>30</v>
      </c>
      <c r="D591" s="1" t="s">
        <v>9</v>
      </c>
      <c r="E591">
        <v>0.7</v>
      </c>
      <c r="F591">
        <v>1.2E-2</v>
      </c>
      <c r="G591" t="b">
        <f>OR(DM_Control_Error_Param__3[[#This Row],[aperture shift (% actuator pitch)]]&gt;10,DM_Control_Error_Param__3[[#This Row],[log-amplitude variance ]]&gt;0.1)</f>
        <v>0</v>
      </c>
    </row>
    <row r="592" spans="1:7" x14ac:dyDescent="0.25">
      <c r="A592" s="1" t="s">
        <v>6</v>
      </c>
      <c r="B592">
        <v>2</v>
      </c>
      <c r="C592">
        <v>45</v>
      </c>
      <c r="D592" s="1" t="s">
        <v>9</v>
      </c>
      <c r="E592">
        <v>0.9</v>
      </c>
      <c r="F592">
        <v>0.02</v>
      </c>
      <c r="G592" t="b">
        <f>OR(DM_Control_Error_Param__3[[#This Row],[aperture shift (% actuator pitch)]]&gt;10,DM_Control_Error_Param__3[[#This Row],[log-amplitude variance ]]&gt;0.1)</f>
        <v>0</v>
      </c>
    </row>
    <row r="593" spans="1:7" x14ac:dyDescent="0.25">
      <c r="A593" s="1" t="s">
        <v>6</v>
      </c>
      <c r="B593">
        <v>2</v>
      </c>
      <c r="C593">
        <v>60</v>
      </c>
      <c r="D593" s="1" t="s">
        <v>9</v>
      </c>
      <c r="E593">
        <v>1.1000000000000001</v>
      </c>
      <c r="F593">
        <v>2.5999999999999999E-2</v>
      </c>
      <c r="G593" t="b">
        <f>OR(DM_Control_Error_Param__3[[#This Row],[aperture shift (% actuator pitch)]]&gt;10,DM_Control_Error_Param__3[[#This Row],[log-amplitude variance ]]&gt;0.1)</f>
        <v>0</v>
      </c>
    </row>
    <row r="594" spans="1:7" x14ac:dyDescent="0.25">
      <c r="A594" s="1" t="s">
        <v>6</v>
      </c>
      <c r="B594">
        <v>2</v>
      </c>
      <c r="C594">
        <v>70</v>
      </c>
      <c r="D594" s="1" t="s">
        <v>9</v>
      </c>
      <c r="E594">
        <v>1.2</v>
      </c>
      <c r="F594">
        <v>3.2000000000000001E-2</v>
      </c>
      <c r="G594" t="b">
        <f>OR(DM_Control_Error_Param__3[[#This Row],[aperture shift (% actuator pitch)]]&gt;10,DM_Control_Error_Param__3[[#This Row],[log-amplitude variance ]]&gt;0.1)</f>
        <v>0</v>
      </c>
    </row>
    <row r="595" spans="1:7" x14ac:dyDescent="0.25">
      <c r="A595" s="1" t="s">
        <v>20</v>
      </c>
      <c r="B595">
        <v>14</v>
      </c>
      <c r="C595">
        <v>0</v>
      </c>
      <c r="D595" s="1" t="s">
        <v>21</v>
      </c>
      <c r="E595">
        <v>0</v>
      </c>
      <c r="F595">
        <v>0</v>
      </c>
      <c r="G595" t="b">
        <f>OR(DM_Control_Error_Param__3[[#This Row],[aperture shift (% actuator pitch)]]&gt;10,DM_Control_Error_Param__3[[#This Row],[log-amplitude variance ]]&gt;0.1)</f>
        <v>0</v>
      </c>
    </row>
    <row r="596" spans="1:7" x14ac:dyDescent="0.25">
      <c r="A596" s="1" t="s">
        <v>20</v>
      </c>
      <c r="B596">
        <v>14</v>
      </c>
      <c r="C596">
        <v>30</v>
      </c>
      <c r="D596" s="1" t="s">
        <v>21</v>
      </c>
      <c r="E596">
        <v>0</v>
      </c>
      <c r="F596">
        <v>0</v>
      </c>
      <c r="G596" t="b">
        <f>OR(DM_Control_Error_Param__3[[#This Row],[aperture shift (% actuator pitch)]]&gt;10,DM_Control_Error_Param__3[[#This Row],[log-amplitude variance ]]&gt;0.1)</f>
        <v>0</v>
      </c>
    </row>
    <row r="597" spans="1:7" x14ac:dyDescent="0.25">
      <c r="A597" s="1" t="s">
        <v>20</v>
      </c>
      <c r="B597">
        <v>14</v>
      </c>
      <c r="C597">
        <v>45</v>
      </c>
      <c r="D597" s="1" t="s">
        <v>21</v>
      </c>
      <c r="E597">
        <v>0</v>
      </c>
      <c r="F597">
        <v>0</v>
      </c>
      <c r="G597" t="b">
        <f>OR(DM_Control_Error_Param__3[[#This Row],[aperture shift (% actuator pitch)]]&gt;10,DM_Control_Error_Param__3[[#This Row],[log-amplitude variance ]]&gt;0.1)</f>
        <v>0</v>
      </c>
    </row>
    <row r="598" spans="1:7" x14ac:dyDescent="0.25">
      <c r="A598" s="1" t="s">
        <v>20</v>
      </c>
      <c r="B598">
        <v>14</v>
      </c>
      <c r="C598">
        <v>60</v>
      </c>
      <c r="D598" s="1" t="s">
        <v>21</v>
      </c>
      <c r="E598">
        <v>0</v>
      </c>
      <c r="F598">
        <v>0</v>
      </c>
      <c r="G598" t="b">
        <f>OR(DM_Control_Error_Param__3[[#This Row],[aperture shift (% actuator pitch)]]&gt;10,DM_Control_Error_Param__3[[#This Row],[log-amplitude variance ]]&gt;0.1)</f>
        <v>0</v>
      </c>
    </row>
    <row r="599" spans="1:7" x14ac:dyDescent="0.25">
      <c r="A599" s="1" t="s">
        <v>20</v>
      </c>
      <c r="B599">
        <v>14</v>
      </c>
      <c r="C599">
        <v>70</v>
      </c>
      <c r="D599" s="1" t="s">
        <v>21</v>
      </c>
      <c r="E599">
        <v>0</v>
      </c>
      <c r="F599">
        <v>0</v>
      </c>
      <c r="G599" t="b">
        <f>OR(DM_Control_Error_Param__3[[#This Row],[aperture shift (% actuator pitch)]]&gt;10,DM_Control_Error_Param__3[[#This Row],[log-amplitude variance ]]&gt;0.1)</f>
        <v>0</v>
      </c>
    </row>
    <row r="600" spans="1:7" x14ac:dyDescent="0.25">
      <c r="A600" s="1" t="s">
        <v>20</v>
      </c>
      <c r="B600">
        <v>14</v>
      </c>
      <c r="C600">
        <v>80</v>
      </c>
      <c r="D600" s="1" t="s">
        <v>21</v>
      </c>
      <c r="E600">
        <v>0</v>
      </c>
      <c r="F600">
        <v>0</v>
      </c>
      <c r="G600" t="b">
        <f>OR(DM_Control_Error_Param__3[[#This Row],[aperture shift (% actuator pitch)]]&gt;10,DM_Control_Error_Param__3[[#This Row],[log-amplitude variance ]]&gt;0.1)</f>
        <v>0</v>
      </c>
    </row>
    <row r="601" spans="1:7" x14ac:dyDescent="0.25">
      <c r="A601" s="1" t="s">
        <v>20</v>
      </c>
      <c r="B601">
        <v>11</v>
      </c>
      <c r="C601">
        <v>0</v>
      </c>
      <c r="D601" s="1" t="s">
        <v>21</v>
      </c>
      <c r="E601">
        <v>0</v>
      </c>
      <c r="F601">
        <v>0</v>
      </c>
      <c r="G601" t="b">
        <f>OR(DM_Control_Error_Param__3[[#This Row],[aperture shift (% actuator pitch)]]&gt;10,DM_Control_Error_Param__3[[#This Row],[log-amplitude variance ]]&gt;0.1)</f>
        <v>0</v>
      </c>
    </row>
    <row r="602" spans="1:7" x14ac:dyDescent="0.25">
      <c r="A602" s="1" t="s">
        <v>20</v>
      </c>
      <c r="B602">
        <v>11</v>
      </c>
      <c r="C602">
        <v>30</v>
      </c>
      <c r="D602" s="1" t="s">
        <v>21</v>
      </c>
      <c r="E602">
        <v>0</v>
      </c>
      <c r="F602">
        <v>0</v>
      </c>
      <c r="G602" t="b">
        <f>OR(DM_Control_Error_Param__3[[#This Row],[aperture shift (% actuator pitch)]]&gt;10,DM_Control_Error_Param__3[[#This Row],[log-amplitude variance ]]&gt;0.1)</f>
        <v>0</v>
      </c>
    </row>
    <row r="603" spans="1:7" x14ac:dyDescent="0.25">
      <c r="A603" s="1" t="s">
        <v>20</v>
      </c>
      <c r="B603">
        <v>11</v>
      </c>
      <c r="C603">
        <v>45</v>
      </c>
      <c r="D603" s="1" t="s">
        <v>21</v>
      </c>
      <c r="E603">
        <v>0</v>
      </c>
      <c r="F603">
        <v>0</v>
      </c>
      <c r="G603" t="b">
        <f>OR(DM_Control_Error_Param__3[[#This Row],[aperture shift (% actuator pitch)]]&gt;10,DM_Control_Error_Param__3[[#This Row],[log-amplitude variance ]]&gt;0.1)</f>
        <v>0</v>
      </c>
    </row>
    <row r="604" spans="1:7" x14ac:dyDescent="0.25">
      <c r="A604" s="1" t="s">
        <v>20</v>
      </c>
      <c r="B604">
        <v>11</v>
      </c>
      <c r="C604">
        <v>60</v>
      </c>
      <c r="D604" s="1" t="s">
        <v>21</v>
      </c>
      <c r="E604">
        <v>0</v>
      </c>
      <c r="F604">
        <v>0</v>
      </c>
      <c r="G604" t="b">
        <f>OR(DM_Control_Error_Param__3[[#This Row],[aperture shift (% actuator pitch)]]&gt;10,DM_Control_Error_Param__3[[#This Row],[log-amplitude variance ]]&gt;0.1)</f>
        <v>0</v>
      </c>
    </row>
    <row r="605" spans="1:7" x14ac:dyDescent="0.25">
      <c r="A605" s="1" t="s">
        <v>20</v>
      </c>
      <c r="B605">
        <v>11</v>
      </c>
      <c r="C605">
        <v>70</v>
      </c>
      <c r="D605" s="1" t="s">
        <v>21</v>
      </c>
      <c r="E605">
        <v>0</v>
      </c>
      <c r="F605">
        <v>0</v>
      </c>
      <c r="G605" t="b">
        <f>OR(DM_Control_Error_Param__3[[#This Row],[aperture shift (% actuator pitch)]]&gt;10,DM_Control_Error_Param__3[[#This Row],[log-amplitude variance ]]&gt;0.1)</f>
        <v>0</v>
      </c>
    </row>
    <row r="606" spans="1:7" x14ac:dyDescent="0.25">
      <c r="A606" s="1" t="s">
        <v>20</v>
      </c>
      <c r="B606">
        <v>11</v>
      </c>
      <c r="C606">
        <v>80</v>
      </c>
      <c r="D606" s="1" t="s">
        <v>21</v>
      </c>
      <c r="E606">
        <v>0</v>
      </c>
      <c r="F606">
        <v>0</v>
      </c>
      <c r="G606" t="b">
        <f>OR(DM_Control_Error_Param__3[[#This Row],[aperture shift (% actuator pitch)]]&gt;10,DM_Control_Error_Param__3[[#This Row],[log-amplitude variance ]]&gt;0.1)</f>
        <v>0</v>
      </c>
    </row>
    <row r="607" spans="1:7" x14ac:dyDescent="0.25">
      <c r="A607" s="1" t="s">
        <v>20</v>
      </c>
      <c r="B607">
        <v>8</v>
      </c>
      <c r="C607">
        <v>0</v>
      </c>
      <c r="D607" s="1" t="s">
        <v>21</v>
      </c>
      <c r="E607">
        <v>0</v>
      </c>
      <c r="F607">
        <v>0</v>
      </c>
      <c r="G607" t="b">
        <f>OR(DM_Control_Error_Param__3[[#This Row],[aperture shift (% actuator pitch)]]&gt;10,DM_Control_Error_Param__3[[#This Row],[log-amplitude variance ]]&gt;0.1)</f>
        <v>0</v>
      </c>
    </row>
    <row r="608" spans="1:7" x14ac:dyDescent="0.25">
      <c r="A608" s="1" t="s">
        <v>20</v>
      </c>
      <c r="B608">
        <v>8</v>
      </c>
      <c r="C608">
        <v>30</v>
      </c>
      <c r="D608" s="1" t="s">
        <v>21</v>
      </c>
      <c r="E608">
        <v>0</v>
      </c>
      <c r="F608">
        <v>0</v>
      </c>
      <c r="G608" t="b">
        <f>OR(DM_Control_Error_Param__3[[#This Row],[aperture shift (% actuator pitch)]]&gt;10,DM_Control_Error_Param__3[[#This Row],[log-amplitude variance ]]&gt;0.1)</f>
        <v>0</v>
      </c>
    </row>
    <row r="609" spans="1:7" x14ac:dyDescent="0.25">
      <c r="A609" s="1" t="s">
        <v>20</v>
      </c>
      <c r="B609">
        <v>8</v>
      </c>
      <c r="C609">
        <v>45</v>
      </c>
      <c r="D609" s="1" t="s">
        <v>21</v>
      </c>
      <c r="E609">
        <v>0</v>
      </c>
      <c r="F609">
        <v>0</v>
      </c>
      <c r="G609" t="b">
        <f>OR(DM_Control_Error_Param__3[[#This Row],[aperture shift (% actuator pitch)]]&gt;10,DM_Control_Error_Param__3[[#This Row],[log-amplitude variance ]]&gt;0.1)</f>
        <v>0</v>
      </c>
    </row>
    <row r="610" spans="1:7" x14ac:dyDescent="0.25">
      <c r="A610" s="1" t="s">
        <v>20</v>
      </c>
      <c r="B610">
        <v>8</v>
      </c>
      <c r="C610">
        <v>60</v>
      </c>
      <c r="D610" s="1" t="s">
        <v>21</v>
      </c>
      <c r="E610">
        <v>0</v>
      </c>
      <c r="F610">
        <v>0</v>
      </c>
      <c r="G610" t="b">
        <f>OR(DM_Control_Error_Param__3[[#This Row],[aperture shift (% actuator pitch)]]&gt;10,DM_Control_Error_Param__3[[#This Row],[log-amplitude variance ]]&gt;0.1)</f>
        <v>0</v>
      </c>
    </row>
    <row r="611" spans="1:7" x14ac:dyDescent="0.25">
      <c r="A611" s="1" t="s">
        <v>20</v>
      </c>
      <c r="B611">
        <v>8</v>
      </c>
      <c r="C611">
        <v>70</v>
      </c>
      <c r="D611" s="1" t="s">
        <v>21</v>
      </c>
      <c r="E611">
        <v>0</v>
      </c>
      <c r="F611">
        <v>0</v>
      </c>
      <c r="G611" t="b">
        <f>OR(DM_Control_Error_Param__3[[#This Row],[aperture shift (% actuator pitch)]]&gt;10,DM_Control_Error_Param__3[[#This Row],[log-amplitude variance ]]&gt;0.1)</f>
        <v>0</v>
      </c>
    </row>
    <row r="612" spans="1:7" x14ac:dyDescent="0.25">
      <c r="A612" s="1" t="s">
        <v>20</v>
      </c>
      <c r="B612">
        <v>8</v>
      </c>
      <c r="C612">
        <v>80</v>
      </c>
      <c r="D612" s="1" t="s">
        <v>21</v>
      </c>
      <c r="E612">
        <v>0</v>
      </c>
      <c r="F612">
        <v>0</v>
      </c>
      <c r="G612" t="b">
        <f>OR(DM_Control_Error_Param__3[[#This Row],[aperture shift (% actuator pitch)]]&gt;10,DM_Control_Error_Param__3[[#This Row],[log-amplitude variance ]]&gt;0.1)</f>
        <v>0</v>
      </c>
    </row>
    <row r="613" spans="1:7" x14ac:dyDescent="0.25">
      <c r="A613" s="1" t="s">
        <v>20</v>
      </c>
      <c r="B613">
        <v>5</v>
      </c>
      <c r="C613">
        <v>0</v>
      </c>
      <c r="D613" s="1" t="s">
        <v>21</v>
      </c>
      <c r="E613">
        <v>0</v>
      </c>
      <c r="F613">
        <v>0</v>
      </c>
      <c r="G613" t="b">
        <f>OR(DM_Control_Error_Param__3[[#This Row],[aperture shift (% actuator pitch)]]&gt;10,DM_Control_Error_Param__3[[#This Row],[log-amplitude variance ]]&gt;0.1)</f>
        <v>0</v>
      </c>
    </row>
    <row r="614" spans="1:7" x14ac:dyDescent="0.25">
      <c r="A614" s="1" t="s">
        <v>20</v>
      </c>
      <c r="B614">
        <v>5</v>
      </c>
      <c r="C614">
        <v>30</v>
      </c>
      <c r="D614" s="1" t="s">
        <v>21</v>
      </c>
      <c r="E614">
        <v>0</v>
      </c>
      <c r="F614">
        <v>0</v>
      </c>
      <c r="G614" t="b">
        <f>OR(DM_Control_Error_Param__3[[#This Row],[aperture shift (% actuator pitch)]]&gt;10,DM_Control_Error_Param__3[[#This Row],[log-amplitude variance ]]&gt;0.1)</f>
        <v>0</v>
      </c>
    </row>
    <row r="615" spans="1:7" x14ac:dyDescent="0.25">
      <c r="A615" s="1" t="s">
        <v>20</v>
      </c>
      <c r="B615">
        <v>5</v>
      </c>
      <c r="C615">
        <v>45</v>
      </c>
      <c r="D615" s="1" t="s">
        <v>21</v>
      </c>
      <c r="E615">
        <v>0</v>
      </c>
      <c r="F615">
        <v>0</v>
      </c>
      <c r="G615" t="b">
        <f>OR(DM_Control_Error_Param__3[[#This Row],[aperture shift (% actuator pitch)]]&gt;10,DM_Control_Error_Param__3[[#This Row],[log-amplitude variance ]]&gt;0.1)</f>
        <v>0</v>
      </c>
    </row>
    <row r="616" spans="1:7" x14ac:dyDescent="0.25">
      <c r="A616" s="1" t="s">
        <v>20</v>
      </c>
      <c r="B616">
        <v>5</v>
      </c>
      <c r="C616">
        <v>60</v>
      </c>
      <c r="D616" s="1" t="s">
        <v>21</v>
      </c>
      <c r="E616">
        <v>0</v>
      </c>
      <c r="F616">
        <v>0</v>
      </c>
      <c r="G616" t="b">
        <f>OR(DM_Control_Error_Param__3[[#This Row],[aperture shift (% actuator pitch)]]&gt;10,DM_Control_Error_Param__3[[#This Row],[log-amplitude variance ]]&gt;0.1)</f>
        <v>0</v>
      </c>
    </row>
    <row r="617" spans="1:7" x14ac:dyDescent="0.25">
      <c r="A617" s="1" t="s">
        <v>20</v>
      </c>
      <c r="B617">
        <v>5</v>
      </c>
      <c r="C617">
        <v>70</v>
      </c>
      <c r="D617" s="1" t="s">
        <v>21</v>
      </c>
      <c r="E617">
        <v>0</v>
      </c>
      <c r="F617">
        <v>0</v>
      </c>
      <c r="G617" t="b">
        <f>OR(DM_Control_Error_Param__3[[#This Row],[aperture shift (% actuator pitch)]]&gt;10,DM_Control_Error_Param__3[[#This Row],[log-amplitude variance ]]&gt;0.1)</f>
        <v>0</v>
      </c>
    </row>
    <row r="618" spans="1:7" x14ac:dyDescent="0.25">
      <c r="A618" s="1" t="s">
        <v>20</v>
      </c>
      <c r="B618">
        <v>5</v>
      </c>
      <c r="C618">
        <v>80</v>
      </c>
      <c r="D618" s="1" t="s">
        <v>21</v>
      </c>
      <c r="E618">
        <v>0</v>
      </c>
      <c r="F618">
        <v>0</v>
      </c>
      <c r="G618" t="b">
        <f>OR(DM_Control_Error_Param__3[[#This Row],[aperture shift (% actuator pitch)]]&gt;10,DM_Control_Error_Param__3[[#This Row],[log-amplitude variance ]]&gt;0.1)</f>
        <v>0</v>
      </c>
    </row>
    <row r="619" spans="1:7" x14ac:dyDescent="0.25">
      <c r="A619" s="1" t="s">
        <v>20</v>
      </c>
      <c r="B619">
        <v>3</v>
      </c>
      <c r="C619">
        <v>0</v>
      </c>
      <c r="D619" s="1" t="s">
        <v>21</v>
      </c>
      <c r="E619">
        <v>0</v>
      </c>
      <c r="F619">
        <v>0</v>
      </c>
      <c r="G619" t="b">
        <f>OR(DM_Control_Error_Param__3[[#This Row],[aperture shift (% actuator pitch)]]&gt;10,DM_Control_Error_Param__3[[#This Row],[log-amplitude variance ]]&gt;0.1)</f>
        <v>0</v>
      </c>
    </row>
    <row r="620" spans="1:7" x14ac:dyDescent="0.25">
      <c r="A620" s="1" t="s">
        <v>20</v>
      </c>
      <c r="B620">
        <v>3</v>
      </c>
      <c r="C620">
        <v>30</v>
      </c>
      <c r="D620" s="1" t="s">
        <v>21</v>
      </c>
      <c r="E620">
        <v>0</v>
      </c>
      <c r="F620">
        <v>0</v>
      </c>
      <c r="G620" t="b">
        <f>OR(DM_Control_Error_Param__3[[#This Row],[aperture shift (% actuator pitch)]]&gt;10,DM_Control_Error_Param__3[[#This Row],[log-amplitude variance ]]&gt;0.1)</f>
        <v>0</v>
      </c>
    </row>
    <row r="621" spans="1:7" x14ac:dyDescent="0.25">
      <c r="A621" s="1" t="s">
        <v>20</v>
      </c>
      <c r="B621">
        <v>3</v>
      </c>
      <c r="C621">
        <v>45</v>
      </c>
      <c r="D621" s="1" t="s">
        <v>21</v>
      </c>
      <c r="E621">
        <v>0</v>
      </c>
      <c r="F621">
        <v>0</v>
      </c>
      <c r="G621" t="b">
        <f>OR(DM_Control_Error_Param__3[[#This Row],[aperture shift (% actuator pitch)]]&gt;10,DM_Control_Error_Param__3[[#This Row],[log-amplitude variance ]]&gt;0.1)</f>
        <v>0</v>
      </c>
    </row>
    <row r="622" spans="1:7" x14ac:dyDescent="0.25">
      <c r="A622" s="1" t="s">
        <v>20</v>
      </c>
      <c r="B622">
        <v>3</v>
      </c>
      <c r="C622">
        <v>60</v>
      </c>
      <c r="D622" s="1" t="s">
        <v>21</v>
      </c>
      <c r="E622">
        <v>0</v>
      </c>
      <c r="F622">
        <v>0</v>
      </c>
      <c r="G622" t="b">
        <f>OR(DM_Control_Error_Param__3[[#This Row],[aperture shift (% actuator pitch)]]&gt;10,DM_Control_Error_Param__3[[#This Row],[log-amplitude variance ]]&gt;0.1)</f>
        <v>0</v>
      </c>
    </row>
    <row r="623" spans="1:7" x14ac:dyDescent="0.25">
      <c r="A623" s="1" t="s">
        <v>20</v>
      </c>
      <c r="B623">
        <v>3</v>
      </c>
      <c r="C623">
        <v>70</v>
      </c>
      <c r="D623" s="1" t="s">
        <v>21</v>
      </c>
      <c r="E623">
        <v>0</v>
      </c>
      <c r="F623">
        <v>0</v>
      </c>
      <c r="G623" t="b">
        <f>OR(DM_Control_Error_Param__3[[#This Row],[aperture shift (% actuator pitch)]]&gt;10,DM_Control_Error_Param__3[[#This Row],[log-amplitude variance ]]&gt;0.1)</f>
        <v>0</v>
      </c>
    </row>
    <row r="624" spans="1:7" x14ac:dyDescent="0.25">
      <c r="A624" s="1" t="s">
        <v>20</v>
      </c>
      <c r="B624">
        <v>3</v>
      </c>
      <c r="C624">
        <v>80</v>
      </c>
      <c r="D624" s="1" t="s">
        <v>21</v>
      </c>
      <c r="E624">
        <v>0</v>
      </c>
      <c r="F624">
        <v>0</v>
      </c>
      <c r="G624" t="b">
        <f>OR(DM_Control_Error_Param__3[[#This Row],[aperture shift (% actuator pitch)]]&gt;10,DM_Control_Error_Param__3[[#This Row],[log-amplitude variance ]]&gt;0.1)</f>
        <v>0</v>
      </c>
    </row>
    <row r="625" spans="1:7" x14ac:dyDescent="0.25">
      <c r="A625" s="1" t="s">
        <v>20</v>
      </c>
      <c r="B625">
        <v>2</v>
      </c>
      <c r="C625">
        <v>0</v>
      </c>
      <c r="D625" s="1" t="s">
        <v>21</v>
      </c>
      <c r="E625">
        <v>0</v>
      </c>
      <c r="F625">
        <v>0</v>
      </c>
      <c r="G625" t="b">
        <f>OR(DM_Control_Error_Param__3[[#This Row],[aperture shift (% actuator pitch)]]&gt;10,DM_Control_Error_Param__3[[#This Row],[log-amplitude variance ]]&gt;0.1)</f>
        <v>0</v>
      </c>
    </row>
    <row r="626" spans="1:7" x14ac:dyDescent="0.25">
      <c r="A626" s="1" t="s">
        <v>20</v>
      </c>
      <c r="B626">
        <v>2</v>
      </c>
      <c r="C626">
        <v>30</v>
      </c>
      <c r="D626" s="1" t="s">
        <v>21</v>
      </c>
      <c r="E626">
        <v>0</v>
      </c>
      <c r="F626">
        <v>0</v>
      </c>
      <c r="G626" t="b">
        <f>OR(DM_Control_Error_Param__3[[#This Row],[aperture shift (% actuator pitch)]]&gt;10,DM_Control_Error_Param__3[[#This Row],[log-amplitude variance ]]&gt;0.1)</f>
        <v>0</v>
      </c>
    </row>
    <row r="627" spans="1:7" x14ac:dyDescent="0.25">
      <c r="A627" s="1" t="s">
        <v>20</v>
      </c>
      <c r="B627">
        <v>2</v>
      </c>
      <c r="C627">
        <v>45</v>
      </c>
      <c r="D627" s="1" t="s">
        <v>21</v>
      </c>
      <c r="E627">
        <v>0</v>
      </c>
      <c r="F627">
        <v>0</v>
      </c>
      <c r="G627" t="b">
        <f>OR(DM_Control_Error_Param__3[[#This Row],[aperture shift (% actuator pitch)]]&gt;10,DM_Control_Error_Param__3[[#This Row],[log-amplitude variance ]]&gt;0.1)</f>
        <v>0</v>
      </c>
    </row>
    <row r="628" spans="1:7" x14ac:dyDescent="0.25">
      <c r="A628" s="1" t="s">
        <v>20</v>
      </c>
      <c r="B628">
        <v>2</v>
      </c>
      <c r="C628">
        <v>60</v>
      </c>
      <c r="D628" s="1" t="s">
        <v>21</v>
      </c>
      <c r="E628">
        <v>0</v>
      </c>
      <c r="F628">
        <v>0</v>
      </c>
      <c r="G628" t="b">
        <f>OR(DM_Control_Error_Param__3[[#This Row],[aperture shift (% actuator pitch)]]&gt;10,DM_Control_Error_Param__3[[#This Row],[log-amplitude variance ]]&gt;0.1)</f>
        <v>0</v>
      </c>
    </row>
    <row r="629" spans="1:7" x14ac:dyDescent="0.25">
      <c r="A629" s="1" t="s">
        <v>20</v>
      </c>
      <c r="B629">
        <v>2</v>
      </c>
      <c r="C629">
        <v>70</v>
      </c>
      <c r="D629" s="1" t="s">
        <v>21</v>
      </c>
      <c r="E629">
        <v>0</v>
      </c>
      <c r="F629">
        <v>0</v>
      </c>
      <c r="G629" t="b">
        <f>OR(DM_Control_Error_Param__3[[#This Row],[aperture shift (% actuator pitch)]]&gt;10,DM_Control_Error_Param__3[[#This Row],[log-amplitude variance ]]&gt;0.1)</f>
        <v>0</v>
      </c>
    </row>
    <row r="630" spans="1:7" x14ac:dyDescent="0.25">
      <c r="A630" s="1" t="s">
        <v>20</v>
      </c>
      <c r="B630">
        <v>2</v>
      </c>
      <c r="C630">
        <v>80</v>
      </c>
      <c r="D630" s="1" t="s">
        <v>21</v>
      </c>
      <c r="E630">
        <v>0</v>
      </c>
      <c r="F630">
        <v>0</v>
      </c>
      <c r="G630" t="b">
        <f>OR(DM_Control_Error_Param__3[[#This Row],[aperture shift (% actuator pitch)]]&gt;10,DM_Control_Error_Param__3[[#This Row],[log-amplitude variance ]]&gt;0.1)</f>
        <v>0</v>
      </c>
    </row>
    <row r="631" spans="1:7" x14ac:dyDescent="0.25">
      <c r="A631" s="1" t="s">
        <v>10</v>
      </c>
      <c r="B631">
        <v>14</v>
      </c>
      <c r="C631">
        <v>0</v>
      </c>
      <c r="D631" s="1" t="s">
        <v>13</v>
      </c>
      <c r="E631">
        <v>0.4</v>
      </c>
      <c r="F631">
        <v>2E-3</v>
      </c>
      <c r="G631" t="b">
        <f>OR(DM_Control_Error_Param__3[[#This Row],[aperture shift (% actuator pitch)]]&gt;10,DM_Control_Error_Param__3[[#This Row],[log-amplitude variance ]]&gt;0.1)</f>
        <v>0</v>
      </c>
    </row>
    <row r="632" spans="1:7" x14ac:dyDescent="0.25">
      <c r="A632" s="1" t="s">
        <v>10</v>
      </c>
      <c r="B632">
        <v>14</v>
      </c>
      <c r="C632">
        <v>30</v>
      </c>
      <c r="D632" s="1" t="s">
        <v>13</v>
      </c>
      <c r="E632">
        <v>0.4</v>
      </c>
      <c r="F632">
        <v>2E-3</v>
      </c>
      <c r="G632" t="b">
        <f>OR(DM_Control_Error_Param__3[[#This Row],[aperture shift (% actuator pitch)]]&gt;10,DM_Control_Error_Param__3[[#This Row],[log-amplitude variance ]]&gt;0.1)</f>
        <v>0</v>
      </c>
    </row>
    <row r="633" spans="1:7" x14ac:dyDescent="0.25">
      <c r="A633" s="1" t="s">
        <v>10</v>
      </c>
      <c r="B633">
        <v>14</v>
      </c>
      <c r="C633">
        <v>45</v>
      </c>
      <c r="D633" s="1" t="s">
        <v>13</v>
      </c>
      <c r="E633">
        <v>0.4</v>
      </c>
      <c r="F633">
        <v>3.0000000000000001E-3</v>
      </c>
      <c r="G633" t="b">
        <f>OR(DM_Control_Error_Param__3[[#This Row],[aperture shift (% actuator pitch)]]&gt;10,DM_Control_Error_Param__3[[#This Row],[log-amplitude variance ]]&gt;0.1)</f>
        <v>0</v>
      </c>
    </row>
    <row r="634" spans="1:7" x14ac:dyDescent="0.25">
      <c r="A634" s="1" t="s">
        <v>10</v>
      </c>
      <c r="B634">
        <v>14</v>
      </c>
      <c r="C634">
        <v>60</v>
      </c>
      <c r="D634" s="1" t="s">
        <v>13</v>
      </c>
      <c r="E634">
        <v>0.5</v>
      </c>
      <c r="F634">
        <v>4.0000000000000001E-3</v>
      </c>
      <c r="G634" t="b">
        <f>OR(DM_Control_Error_Param__3[[#This Row],[aperture shift (% actuator pitch)]]&gt;10,DM_Control_Error_Param__3[[#This Row],[log-amplitude variance ]]&gt;0.1)</f>
        <v>0</v>
      </c>
    </row>
    <row r="635" spans="1:7" x14ac:dyDescent="0.25">
      <c r="A635" s="1" t="s">
        <v>10</v>
      </c>
      <c r="B635">
        <v>14</v>
      </c>
      <c r="C635">
        <v>70</v>
      </c>
      <c r="D635" s="1" t="s">
        <v>13</v>
      </c>
      <c r="E635">
        <v>0.6</v>
      </c>
      <c r="F635">
        <v>7.0000000000000001E-3</v>
      </c>
      <c r="G635" t="b">
        <f>OR(DM_Control_Error_Param__3[[#This Row],[aperture shift (% actuator pitch)]]&gt;10,DM_Control_Error_Param__3[[#This Row],[log-amplitude variance ]]&gt;0.1)</f>
        <v>0</v>
      </c>
    </row>
    <row r="636" spans="1:7" x14ac:dyDescent="0.25">
      <c r="A636" s="1" t="s">
        <v>10</v>
      </c>
      <c r="B636">
        <v>14</v>
      </c>
      <c r="C636">
        <v>80</v>
      </c>
      <c r="D636" s="1" t="s">
        <v>13</v>
      </c>
      <c r="E636">
        <v>0.9</v>
      </c>
      <c r="F636">
        <v>1.4E-2</v>
      </c>
      <c r="G636" t="b">
        <f>OR(DM_Control_Error_Param__3[[#This Row],[aperture shift (% actuator pitch)]]&gt;10,DM_Control_Error_Param__3[[#This Row],[log-amplitude variance ]]&gt;0.1)</f>
        <v>0</v>
      </c>
    </row>
    <row r="637" spans="1:7" x14ac:dyDescent="0.25">
      <c r="A637" s="1" t="s">
        <v>10</v>
      </c>
      <c r="B637">
        <v>11</v>
      </c>
      <c r="C637">
        <v>0</v>
      </c>
      <c r="D637" s="1" t="s">
        <v>13</v>
      </c>
      <c r="E637">
        <v>0.5</v>
      </c>
      <c r="F637">
        <v>3.0000000000000001E-3</v>
      </c>
      <c r="G637" t="b">
        <f>OR(DM_Control_Error_Param__3[[#This Row],[aperture shift (% actuator pitch)]]&gt;10,DM_Control_Error_Param__3[[#This Row],[log-amplitude variance ]]&gt;0.1)</f>
        <v>0</v>
      </c>
    </row>
    <row r="638" spans="1:7" x14ac:dyDescent="0.25">
      <c r="A638" s="1" t="s">
        <v>10</v>
      </c>
      <c r="B638">
        <v>11</v>
      </c>
      <c r="C638">
        <v>30</v>
      </c>
      <c r="D638" s="1" t="s">
        <v>13</v>
      </c>
      <c r="E638">
        <v>0.4</v>
      </c>
      <c r="F638">
        <v>3.0000000000000001E-3</v>
      </c>
      <c r="G638" t="b">
        <f>OR(DM_Control_Error_Param__3[[#This Row],[aperture shift (% actuator pitch)]]&gt;10,DM_Control_Error_Param__3[[#This Row],[log-amplitude variance ]]&gt;0.1)</f>
        <v>0</v>
      </c>
    </row>
    <row r="639" spans="1:7" x14ac:dyDescent="0.25">
      <c r="A639" s="1" t="s">
        <v>10</v>
      </c>
      <c r="B639">
        <v>11</v>
      </c>
      <c r="C639">
        <v>45</v>
      </c>
      <c r="D639" s="1" t="s">
        <v>13</v>
      </c>
      <c r="E639">
        <v>0.5</v>
      </c>
      <c r="F639">
        <v>4.0000000000000001E-3</v>
      </c>
      <c r="G639" t="b">
        <f>OR(DM_Control_Error_Param__3[[#This Row],[aperture shift (% actuator pitch)]]&gt;10,DM_Control_Error_Param__3[[#This Row],[log-amplitude variance ]]&gt;0.1)</f>
        <v>0</v>
      </c>
    </row>
    <row r="640" spans="1:7" x14ac:dyDescent="0.25">
      <c r="A640" s="1" t="s">
        <v>10</v>
      </c>
      <c r="B640">
        <v>11</v>
      </c>
      <c r="C640">
        <v>60</v>
      </c>
      <c r="D640" s="1" t="s">
        <v>13</v>
      </c>
      <c r="E640">
        <v>0.6</v>
      </c>
      <c r="F640">
        <v>6.0000000000000001E-3</v>
      </c>
      <c r="G640" t="b">
        <f>OR(DM_Control_Error_Param__3[[#This Row],[aperture shift (% actuator pitch)]]&gt;10,DM_Control_Error_Param__3[[#This Row],[log-amplitude variance ]]&gt;0.1)</f>
        <v>0</v>
      </c>
    </row>
    <row r="641" spans="1:7" x14ac:dyDescent="0.25">
      <c r="A641" s="1" t="s">
        <v>10</v>
      </c>
      <c r="B641">
        <v>11</v>
      </c>
      <c r="C641">
        <v>70</v>
      </c>
      <c r="D641" s="1" t="s">
        <v>13</v>
      </c>
      <c r="E641">
        <v>0.8</v>
      </c>
      <c r="F641">
        <v>0.01</v>
      </c>
      <c r="G641" t="b">
        <f>OR(DM_Control_Error_Param__3[[#This Row],[aperture shift (% actuator pitch)]]&gt;10,DM_Control_Error_Param__3[[#This Row],[log-amplitude variance ]]&gt;0.1)</f>
        <v>0</v>
      </c>
    </row>
    <row r="642" spans="1:7" x14ac:dyDescent="0.25">
      <c r="A642" s="1" t="s">
        <v>10</v>
      </c>
      <c r="B642">
        <v>11</v>
      </c>
      <c r="C642">
        <v>80</v>
      </c>
      <c r="D642" s="1" t="s">
        <v>13</v>
      </c>
      <c r="E642">
        <v>1.1000000000000001</v>
      </c>
      <c r="F642">
        <v>2.1000000000000001E-2</v>
      </c>
      <c r="G642" t="b">
        <f>OR(DM_Control_Error_Param__3[[#This Row],[aperture shift (% actuator pitch)]]&gt;10,DM_Control_Error_Param__3[[#This Row],[log-amplitude variance ]]&gt;0.1)</f>
        <v>0</v>
      </c>
    </row>
    <row r="643" spans="1:7" x14ac:dyDescent="0.25">
      <c r="A643" s="1" t="s">
        <v>10</v>
      </c>
      <c r="B643">
        <v>8</v>
      </c>
      <c r="C643">
        <v>0</v>
      </c>
      <c r="D643" s="1" t="s">
        <v>13</v>
      </c>
      <c r="E643">
        <v>0.6</v>
      </c>
      <c r="F643">
        <v>6.0000000000000001E-3</v>
      </c>
      <c r="G643" t="b">
        <f>OR(DM_Control_Error_Param__3[[#This Row],[aperture shift (% actuator pitch)]]&gt;10,DM_Control_Error_Param__3[[#This Row],[log-amplitude variance ]]&gt;0.1)</f>
        <v>0</v>
      </c>
    </row>
    <row r="644" spans="1:7" x14ac:dyDescent="0.25">
      <c r="A644" s="1" t="s">
        <v>10</v>
      </c>
      <c r="B644">
        <v>8</v>
      </c>
      <c r="C644">
        <v>30</v>
      </c>
      <c r="D644" s="1" t="s">
        <v>13</v>
      </c>
      <c r="E644">
        <v>0.6</v>
      </c>
      <c r="F644">
        <v>6.0000000000000001E-3</v>
      </c>
      <c r="G644" t="b">
        <f>OR(DM_Control_Error_Param__3[[#This Row],[aperture shift (% actuator pitch)]]&gt;10,DM_Control_Error_Param__3[[#This Row],[log-amplitude variance ]]&gt;0.1)</f>
        <v>0</v>
      </c>
    </row>
    <row r="645" spans="1:7" x14ac:dyDescent="0.25">
      <c r="A645" s="1" t="s">
        <v>10</v>
      </c>
      <c r="B645">
        <v>8</v>
      </c>
      <c r="C645">
        <v>45</v>
      </c>
      <c r="D645" s="1" t="s">
        <v>13</v>
      </c>
      <c r="E645">
        <v>0.7</v>
      </c>
      <c r="F645">
        <v>7.0000000000000001E-3</v>
      </c>
      <c r="G645" t="b">
        <f>OR(DM_Control_Error_Param__3[[#This Row],[aperture shift (% actuator pitch)]]&gt;10,DM_Control_Error_Param__3[[#This Row],[log-amplitude variance ]]&gt;0.1)</f>
        <v>0</v>
      </c>
    </row>
    <row r="646" spans="1:7" x14ac:dyDescent="0.25">
      <c r="A646" s="1" t="s">
        <v>10</v>
      </c>
      <c r="B646">
        <v>8</v>
      </c>
      <c r="C646">
        <v>60</v>
      </c>
      <c r="D646" s="1" t="s">
        <v>13</v>
      </c>
      <c r="E646">
        <v>0.8</v>
      </c>
      <c r="F646">
        <v>0.01</v>
      </c>
      <c r="G646" t="b">
        <f>OR(DM_Control_Error_Param__3[[#This Row],[aperture shift (% actuator pitch)]]&gt;10,DM_Control_Error_Param__3[[#This Row],[log-amplitude variance ]]&gt;0.1)</f>
        <v>0</v>
      </c>
    </row>
    <row r="647" spans="1:7" x14ac:dyDescent="0.25">
      <c r="A647" s="1" t="s">
        <v>10</v>
      </c>
      <c r="B647">
        <v>8</v>
      </c>
      <c r="C647">
        <v>70</v>
      </c>
      <c r="D647" s="1" t="s">
        <v>13</v>
      </c>
      <c r="E647">
        <v>1</v>
      </c>
      <c r="F647">
        <v>1.7000000000000001E-2</v>
      </c>
      <c r="G647" t="b">
        <f>OR(DM_Control_Error_Param__3[[#This Row],[aperture shift (% actuator pitch)]]&gt;10,DM_Control_Error_Param__3[[#This Row],[log-amplitude variance ]]&gt;0.1)</f>
        <v>0</v>
      </c>
    </row>
    <row r="648" spans="1:7" x14ac:dyDescent="0.25">
      <c r="A648" s="1" t="s">
        <v>10</v>
      </c>
      <c r="B648">
        <v>8</v>
      </c>
      <c r="C648">
        <v>80</v>
      </c>
      <c r="D648" s="1" t="s">
        <v>13</v>
      </c>
      <c r="E648">
        <v>1.5</v>
      </c>
      <c r="F648">
        <v>3.5999999999999997E-2</v>
      </c>
      <c r="G648" t="b">
        <f>OR(DM_Control_Error_Param__3[[#This Row],[aperture shift (% actuator pitch)]]&gt;10,DM_Control_Error_Param__3[[#This Row],[log-amplitude variance ]]&gt;0.1)</f>
        <v>0</v>
      </c>
    </row>
    <row r="649" spans="1:7" x14ac:dyDescent="0.25">
      <c r="A649" s="1" t="s">
        <v>10</v>
      </c>
      <c r="B649">
        <v>5</v>
      </c>
      <c r="C649">
        <v>0</v>
      </c>
      <c r="D649" s="1" t="s">
        <v>13</v>
      </c>
      <c r="E649">
        <v>0.9</v>
      </c>
      <c r="F649">
        <v>1.2999999999999999E-2</v>
      </c>
      <c r="G649" t="b">
        <f>OR(DM_Control_Error_Param__3[[#This Row],[aperture shift (% actuator pitch)]]&gt;10,DM_Control_Error_Param__3[[#This Row],[log-amplitude variance ]]&gt;0.1)</f>
        <v>0</v>
      </c>
    </row>
    <row r="650" spans="1:7" x14ac:dyDescent="0.25">
      <c r="A650" s="1" t="s">
        <v>10</v>
      </c>
      <c r="B650">
        <v>5</v>
      </c>
      <c r="C650">
        <v>30</v>
      </c>
      <c r="D650" s="1" t="s">
        <v>13</v>
      </c>
      <c r="E650">
        <v>0.9</v>
      </c>
      <c r="F650">
        <v>1.2999999999999999E-2</v>
      </c>
      <c r="G650" t="b">
        <f>OR(DM_Control_Error_Param__3[[#This Row],[aperture shift (% actuator pitch)]]&gt;10,DM_Control_Error_Param__3[[#This Row],[log-amplitude variance ]]&gt;0.1)</f>
        <v>0</v>
      </c>
    </row>
    <row r="651" spans="1:7" x14ac:dyDescent="0.25">
      <c r="A651" s="1" t="s">
        <v>10</v>
      </c>
      <c r="B651">
        <v>5</v>
      </c>
      <c r="C651">
        <v>45</v>
      </c>
      <c r="D651" s="1" t="s">
        <v>13</v>
      </c>
      <c r="E651">
        <v>1</v>
      </c>
      <c r="F651">
        <v>1.6E-2</v>
      </c>
      <c r="G651" t="b">
        <f>OR(DM_Control_Error_Param__3[[#This Row],[aperture shift (% actuator pitch)]]&gt;10,DM_Control_Error_Param__3[[#This Row],[log-amplitude variance ]]&gt;0.1)</f>
        <v>0</v>
      </c>
    </row>
    <row r="652" spans="1:7" x14ac:dyDescent="0.25">
      <c r="A652" s="1" t="s">
        <v>10</v>
      </c>
      <c r="B652">
        <v>5</v>
      </c>
      <c r="C652">
        <v>60</v>
      </c>
      <c r="D652" s="1" t="s">
        <v>13</v>
      </c>
      <c r="E652">
        <v>1.2</v>
      </c>
      <c r="F652">
        <v>2.3E-2</v>
      </c>
      <c r="G652" t="b">
        <f>OR(DM_Control_Error_Param__3[[#This Row],[aperture shift (% actuator pitch)]]&gt;10,DM_Control_Error_Param__3[[#This Row],[log-amplitude variance ]]&gt;0.1)</f>
        <v>0</v>
      </c>
    </row>
    <row r="653" spans="1:7" x14ac:dyDescent="0.25">
      <c r="A653" s="1" t="s">
        <v>10</v>
      </c>
      <c r="B653">
        <v>5</v>
      </c>
      <c r="C653">
        <v>70</v>
      </c>
      <c r="D653" s="1" t="s">
        <v>13</v>
      </c>
      <c r="E653">
        <v>1.5</v>
      </c>
      <c r="F653">
        <v>3.6999999999999998E-2</v>
      </c>
      <c r="G653" t="b">
        <f>OR(DM_Control_Error_Param__3[[#This Row],[aperture shift (% actuator pitch)]]&gt;10,DM_Control_Error_Param__3[[#This Row],[log-amplitude variance ]]&gt;0.1)</f>
        <v>0</v>
      </c>
    </row>
    <row r="654" spans="1:7" x14ac:dyDescent="0.25">
      <c r="A654" s="1" t="s">
        <v>10</v>
      </c>
      <c r="B654">
        <v>5</v>
      </c>
      <c r="C654">
        <v>80</v>
      </c>
      <c r="D654" s="1" t="s">
        <v>13</v>
      </c>
      <c r="E654">
        <v>2.1</v>
      </c>
      <c r="F654">
        <v>7.9000000000000001E-2</v>
      </c>
      <c r="G654" t="b">
        <f>OR(DM_Control_Error_Param__3[[#This Row],[aperture shift (% actuator pitch)]]&gt;10,DM_Control_Error_Param__3[[#This Row],[log-amplitude variance ]]&gt;0.1)</f>
        <v>0</v>
      </c>
    </row>
    <row r="655" spans="1:7" x14ac:dyDescent="0.25">
      <c r="A655" s="1" t="s">
        <v>10</v>
      </c>
      <c r="B655">
        <v>3</v>
      </c>
      <c r="C655">
        <v>0</v>
      </c>
      <c r="D655" s="1" t="s">
        <v>13</v>
      </c>
      <c r="E655">
        <v>1.3</v>
      </c>
      <c r="F655">
        <v>0.03</v>
      </c>
      <c r="G655" t="b">
        <f>OR(DM_Control_Error_Param__3[[#This Row],[aperture shift (% actuator pitch)]]&gt;10,DM_Control_Error_Param__3[[#This Row],[log-amplitude variance ]]&gt;0.1)</f>
        <v>0</v>
      </c>
    </row>
    <row r="656" spans="1:7" x14ac:dyDescent="0.25">
      <c r="A656" s="1" t="s">
        <v>10</v>
      </c>
      <c r="B656">
        <v>3</v>
      </c>
      <c r="C656">
        <v>30</v>
      </c>
      <c r="D656" s="1" t="s">
        <v>13</v>
      </c>
      <c r="E656">
        <v>1.3</v>
      </c>
      <c r="F656">
        <v>2.9000000000000001E-2</v>
      </c>
      <c r="G656" t="b">
        <f>OR(DM_Control_Error_Param__3[[#This Row],[aperture shift (% actuator pitch)]]&gt;10,DM_Control_Error_Param__3[[#This Row],[log-amplitude variance ]]&gt;0.1)</f>
        <v>0</v>
      </c>
    </row>
    <row r="657" spans="1:7" x14ac:dyDescent="0.25">
      <c r="A657" s="1" t="s">
        <v>10</v>
      </c>
      <c r="B657">
        <v>3</v>
      </c>
      <c r="C657">
        <v>45</v>
      </c>
      <c r="D657" s="1" t="s">
        <v>13</v>
      </c>
      <c r="E657">
        <v>1.5</v>
      </c>
      <c r="F657">
        <v>3.5999999999999997E-2</v>
      </c>
      <c r="G657" t="b">
        <f>OR(DM_Control_Error_Param__3[[#This Row],[aperture shift (% actuator pitch)]]&gt;10,DM_Control_Error_Param__3[[#This Row],[log-amplitude variance ]]&gt;0.1)</f>
        <v>0</v>
      </c>
    </row>
    <row r="658" spans="1:7" x14ac:dyDescent="0.25">
      <c r="A658" s="1" t="s">
        <v>10</v>
      </c>
      <c r="B658">
        <v>3</v>
      </c>
      <c r="C658">
        <v>60</v>
      </c>
      <c r="D658" s="1" t="s">
        <v>13</v>
      </c>
      <c r="E658">
        <v>1.8</v>
      </c>
      <c r="F658">
        <v>5.3999999999999999E-2</v>
      </c>
      <c r="G658" t="b">
        <f>OR(DM_Control_Error_Param__3[[#This Row],[aperture shift (% actuator pitch)]]&gt;10,DM_Control_Error_Param__3[[#This Row],[log-amplitude variance ]]&gt;0.1)</f>
        <v>0</v>
      </c>
    </row>
    <row r="659" spans="1:7" x14ac:dyDescent="0.25">
      <c r="A659" s="1" t="s">
        <v>10</v>
      </c>
      <c r="B659">
        <v>3</v>
      </c>
      <c r="C659">
        <v>70</v>
      </c>
      <c r="D659" s="1" t="s">
        <v>13</v>
      </c>
      <c r="E659">
        <v>2.2999999999999998</v>
      </c>
      <c r="F659">
        <v>8.5999999999999993E-2</v>
      </c>
      <c r="G659" t="b">
        <f>OR(DM_Control_Error_Param__3[[#This Row],[aperture shift (% actuator pitch)]]&gt;10,DM_Control_Error_Param__3[[#This Row],[log-amplitude variance ]]&gt;0.1)</f>
        <v>0</v>
      </c>
    </row>
    <row r="660" spans="1:7" x14ac:dyDescent="0.25">
      <c r="A660" s="1" t="s">
        <v>10</v>
      </c>
      <c r="B660">
        <v>2</v>
      </c>
      <c r="C660">
        <v>0</v>
      </c>
      <c r="D660" s="1" t="s">
        <v>13</v>
      </c>
      <c r="E660">
        <v>1.9</v>
      </c>
      <c r="F660">
        <v>5.8000000000000003E-2</v>
      </c>
      <c r="G660" t="b">
        <f>OR(DM_Control_Error_Param__3[[#This Row],[aperture shift (% actuator pitch)]]&gt;10,DM_Control_Error_Param__3[[#This Row],[log-amplitude variance ]]&gt;0.1)</f>
        <v>0</v>
      </c>
    </row>
    <row r="661" spans="1:7" x14ac:dyDescent="0.25">
      <c r="A661" s="1" t="s">
        <v>10</v>
      </c>
      <c r="B661">
        <v>2</v>
      </c>
      <c r="C661">
        <v>30</v>
      </c>
      <c r="D661" s="1" t="s">
        <v>13</v>
      </c>
      <c r="E661">
        <v>1.9</v>
      </c>
      <c r="F661">
        <v>5.8000000000000003E-2</v>
      </c>
      <c r="G661" t="b">
        <f>OR(DM_Control_Error_Param__3[[#This Row],[aperture shift (% actuator pitch)]]&gt;10,DM_Control_Error_Param__3[[#This Row],[log-amplitude variance ]]&gt;0.1)</f>
        <v>0</v>
      </c>
    </row>
    <row r="662" spans="1:7" x14ac:dyDescent="0.25">
      <c r="A662" s="1" t="s">
        <v>10</v>
      </c>
      <c r="B662">
        <v>2</v>
      </c>
      <c r="C662">
        <v>45</v>
      </c>
      <c r="D662" s="1" t="s">
        <v>13</v>
      </c>
      <c r="E662">
        <v>2.1</v>
      </c>
      <c r="F662">
        <v>7.1999999999999995E-2</v>
      </c>
      <c r="G662" t="b">
        <f>OR(DM_Control_Error_Param__3[[#This Row],[aperture shift (% actuator pitch)]]&gt;10,DM_Control_Error_Param__3[[#This Row],[log-amplitude variance ]]&gt;0.1)</f>
        <v>0</v>
      </c>
    </row>
    <row r="663" spans="1:7" x14ac:dyDescent="0.25">
      <c r="A663" s="1" t="s">
        <v>17</v>
      </c>
      <c r="B663">
        <v>14</v>
      </c>
      <c r="C663">
        <v>0</v>
      </c>
      <c r="D663" s="1" t="s">
        <v>19</v>
      </c>
      <c r="E663">
        <v>0.2</v>
      </c>
      <c r="F663">
        <v>1E-3</v>
      </c>
      <c r="G663" t="b">
        <f>OR(DM_Control_Error_Param__3[[#This Row],[aperture shift (% actuator pitch)]]&gt;10,DM_Control_Error_Param__3[[#This Row],[log-amplitude variance ]]&gt;0.1)</f>
        <v>0</v>
      </c>
    </row>
    <row r="664" spans="1:7" x14ac:dyDescent="0.25">
      <c r="A664" s="1" t="s">
        <v>17</v>
      </c>
      <c r="B664">
        <v>14</v>
      </c>
      <c r="C664">
        <v>30</v>
      </c>
      <c r="D664" s="1" t="s">
        <v>19</v>
      </c>
      <c r="E664">
        <v>0.2</v>
      </c>
      <c r="F664">
        <v>1E-3</v>
      </c>
      <c r="G664" t="b">
        <f>OR(DM_Control_Error_Param__3[[#This Row],[aperture shift (% actuator pitch)]]&gt;10,DM_Control_Error_Param__3[[#This Row],[log-amplitude variance ]]&gt;0.1)</f>
        <v>0</v>
      </c>
    </row>
    <row r="665" spans="1:7" x14ac:dyDescent="0.25">
      <c r="A665" s="1" t="s">
        <v>17</v>
      </c>
      <c r="B665">
        <v>14</v>
      </c>
      <c r="C665">
        <v>45</v>
      </c>
      <c r="D665" s="1" t="s">
        <v>19</v>
      </c>
      <c r="E665">
        <v>0.2</v>
      </c>
      <c r="F665">
        <v>1E-3</v>
      </c>
      <c r="G665" t="b">
        <f>OR(DM_Control_Error_Param__3[[#This Row],[aperture shift (% actuator pitch)]]&gt;10,DM_Control_Error_Param__3[[#This Row],[log-amplitude variance ]]&gt;0.1)</f>
        <v>0</v>
      </c>
    </row>
    <row r="666" spans="1:7" x14ac:dyDescent="0.25">
      <c r="A666" s="1" t="s">
        <v>17</v>
      </c>
      <c r="B666">
        <v>14</v>
      </c>
      <c r="C666">
        <v>60</v>
      </c>
      <c r="D666" s="1" t="s">
        <v>19</v>
      </c>
      <c r="E666">
        <v>0.2</v>
      </c>
      <c r="F666">
        <v>1E-3</v>
      </c>
      <c r="G666" t="b">
        <f>OR(DM_Control_Error_Param__3[[#This Row],[aperture shift (% actuator pitch)]]&gt;10,DM_Control_Error_Param__3[[#This Row],[log-amplitude variance ]]&gt;0.1)</f>
        <v>0</v>
      </c>
    </row>
    <row r="667" spans="1:7" x14ac:dyDescent="0.25">
      <c r="A667" s="1" t="s">
        <v>17</v>
      </c>
      <c r="B667">
        <v>14</v>
      </c>
      <c r="C667">
        <v>70</v>
      </c>
      <c r="D667" s="1" t="s">
        <v>19</v>
      </c>
      <c r="E667">
        <v>0.3</v>
      </c>
      <c r="F667">
        <v>2E-3</v>
      </c>
      <c r="G667" t="b">
        <f>OR(DM_Control_Error_Param__3[[#This Row],[aperture shift (% actuator pitch)]]&gt;10,DM_Control_Error_Param__3[[#This Row],[log-amplitude variance ]]&gt;0.1)</f>
        <v>0</v>
      </c>
    </row>
    <row r="668" spans="1:7" x14ac:dyDescent="0.25">
      <c r="A668" s="1" t="s">
        <v>17</v>
      </c>
      <c r="B668">
        <v>14</v>
      </c>
      <c r="C668">
        <v>80</v>
      </c>
      <c r="D668" s="1" t="s">
        <v>19</v>
      </c>
      <c r="E668">
        <v>0.5</v>
      </c>
      <c r="F668">
        <v>5.0000000000000001E-3</v>
      </c>
      <c r="G668" t="b">
        <f>OR(DM_Control_Error_Param__3[[#This Row],[aperture shift (% actuator pitch)]]&gt;10,DM_Control_Error_Param__3[[#This Row],[log-amplitude variance ]]&gt;0.1)</f>
        <v>0</v>
      </c>
    </row>
    <row r="669" spans="1:7" x14ac:dyDescent="0.25">
      <c r="A669" s="1" t="s">
        <v>17</v>
      </c>
      <c r="B669">
        <v>11</v>
      </c>
      <c r="C669">
        <v>0</v>
      </c>
      <c r="D669" s="1" t="s">
        <v>19</v>
      </c>
      <c r="E669">
        <v>0.2</v>
      </c>
      <c r="F669">
        <v>1E-3</v>
      </c>
      <c r="G669" t="b">
        <f>OR(DM_Control_Error_Param__3[[#This Row],[aperture shift (% actuator pitch)]]&gt;10,DM_Control_Error_Param__3[[#This Row],[log-amplitude variance ]]&gt;0.1)</f>
        <v>0</v>
      </c>
    </row>
    <row r="670" spans="1:7" x14ac:dyDescent="0.25">
      <c r="A670" s="1" t="s">
        <v>17</v>
      </c>
      <c r="B670">
        <v>11</v>
      </c>
      <c r="C670">
        <v>30</v>
      </c>
      <c r="D670" s="1" t="s">
        <v>19</v>
      </c>
      <c r="E670">
        <v>0.2</v>
      </c>
      <c r="F670">
        <v>1E-3</v>
      </c>
      <c r="G670" t="b">
        <f>OR(DM_Control_Error_Param__3[[#This Row],[aperture shift (% actuator pitch)]]&gt;10,DM_Control_Error_Param__3[[#This Row],[log-amplitude variance ]]&gt;0.1)</f>
        <v>0</v>
      </c>
    </row>
    <row r="671" spans="1:7" x14ac:dyDescent="0.25">
      <c r="A671" s="1" t="s">
        <v>17</v>
      </c>
      <c r="B671">
        <v>11</v>
      </c>
      <c r="C671">
        <v>45</v>
      </c>
      <c r="D671" s="1" t="s">
        <v>19</v>
      </c>
      <c r="E671">
        <v>0.2</v>
      </c>
      <c r="F671">
        <v>1E-3</v>
      </c>
      <c r="G671" t="b">
        <f>OR(DM_Control_Error_Param__3[[#This Row],[aperture shift (% actuator pitch)]]&gt;10,DM_Control_Error_Param__3[[#This Row],[log-amplitude variance ]]&gt;0.1)</f>
        <v>0</v>
      </c>
    </row>
    <row r="672" spans="1:7" x14ac:dyDescent="0.25">
      <c r="A672" s="1" t="s">
        <v>17</v>
      </c>
      <c r="B672">
        <v>11</v>
      </c>
      <c r="C672">
        <v>60</v>
      </c>
      <c r="D672" s="1" t="s">
        <v>19</v>
      </c>
      <c r="E672">
        <v>0.3</v>
      </c>
      <c r="F672">
        <v>2E-3</v>
      </c>
      <c r="G672" t="b">
        <f>OR(DM_Control_Error_Param__3[[#This Row],[aperture shift (% actuator pitch)]]&gt;10,DM_Control_Error_Param__3[[#This Row],[log-amplitude variance ]]&gt;0.1)</f>
        <v>0</v>
      </c>
    </row>
    <row r="673" spans="1:7" x14ac:dyDescent="0.25">
      <c r="A673" s="1" t="s">
        <v>17</v>
      </c>
      <c r="B673">
        <v>11</v>
      </c>
      <c r="C673">
        <v>70</v>
      </c>
      <c r="D673" s="1" t="s">
        <v>19</v>
      </c>
      <c r="E673">
        <v>0.4</v>
      </c>
      <c r="F673">
        <v>3.0000000000000001E-3</v>
      </c>
      <c r="G673" t="b">
        <f>OR(DM_Control_Error_Param__3[[#This Row],[aperture shift (% actuator pitch)]]&gt;10,DM_Control_Error_Param__3[[#This Row],[log-amplitude variance ]]&gt;0.1)</f>
        <v>0</v>
      </c>
    </row>
    <row r="674" spans="1:7" x14ac:dyDescent="0.25">
      <c r="A674" s="1" t="s">
        <v>17</v>
      </c>
      <c r="B674">
        <v>11</v>
      </c>
      <c r="C674">
        <v>80</v>
      </c>
      <c r="D674" s="1" t="s">
        <v>19</v>
      </c>
      <c r="E674">
        <v>0.6</v>
      </c>
      <c r="F674">
        <v>7.0000000000000001E-3</v>
      </c>
      <c r="G674" t="b">
        <f>OR(DM_Control_Error_Param__3[[#This Row],[aperture shift (% actuator pitch)]]&gt;10,DM_Control_Error_Param__3[[#This Row],[log-amplitude variance ]]&gt;0.1)</f>
        <v>0</v>
      </c>
    </row>
    <row r="675" spans="1:7" x14ac:dyDescent="0.25">
      <c r="A675" s="1" t="s">
        <v>17</v>
      </c>
      <c r="B675">
        <v>8</v>
      </c>
      <c r="C675">
        <v>0</v>
      </c>
      <c r="D675" s="1" t="s">
        <v>19</v>
      </c>
      <c r="E675">
        <v>0.3</v>
      </c>
      <c r="F675">
        <v>2E-3</v>
      </c>
      <c r="G675" t="b">
        <f>OR(DM_Control_Error_Param__3[[#This Row],[aperture shift (% actuator pitch)]]&gt;10,DM_Control_Error_Param__3[[#This Row],[log-amplitude variance ]]&gt;0.1)</f>
        <v>0</v>
      </c>
    </row>
    <row r="676" spans="1:7" x14ac:dyDescent="0.25">
      <c r="A676" s="1" t="s">
        <v>17</v>
      </c>
      <c r="B676">
        <v>8</v>
      </c>
      <c r="C676">
        <v>30</v>
      </c>
      <c r="D676" s="1" t="s">
        <v>19</v>
      </c>
      <c r="E676">
        <v>0.3</v>
      </c>
      <c r="F676">
        <v>2E-3</v>
      </c>
      <c r="G676" t="b">
        <f>OR(DM_Control_Error_Param__3[[#This Row],[aperture shift (% actuator pitch)]]&gt;10,DM_Control_Error_Param__3[[#This Row],[log-amplitude variance ]]&gt;0.1)</f>
        <v>0</v>
      </c>
    </row>
    <row r="677" spans="1:7" x14ac:dyDescent="0.25">
      <c r="A677" s="1" t="s">
        <v>17</v>
      </c>
      <c r="B677">
        <v>8</v>
      </c>
      <c r="C677">
        <v>45</v>
      </c>
      <c r="D677" s="1" t="s">
        <v>19</v>
      </c>
      <c r="E677">
        <v>0.3</v>
      </c>
      <c r="F677">
        <v>2E-3</v>
      </c>
      <c r="G677" t="b">
        <f>OR(DM_Control_Error_Param__3[[#This Row],[aperture shift (% actuator pitch)]]&gt;10,DM_Control_Error_Param__3[[#This Row],[log-amplitude variance ]]&gt;0.1)</f>
        <v>0</v>
      </c>
    </row>
    <row r="678" spans="1:7" x14ac:dyDescent="0.25">
      <c r="A678" s="1" t="s">
        <v>17</v>
      </c>
      <c r="B678">
        <v>8</v>
      </c>
      <c r="C678">
        <v>60</v>
      </c>
      <c r="D678" s="1" t="s">
        <v>19</v>
      </c>
      <c r="E678">
        <v>0.4</v>
      </c>
      <c r="F678">
        <v>3.0000000000000001E-3</v>
      </c>
      <c r="G678" t="b">
        <f>OR(DM_Control_Error_Param__3[[#This Row],[aperture shift (% actuator pitch)]]&gt;10,DM_Control_Error_Param__3[[#This Row],[log-amplitude variance ]]&gt;0.1)</f>
        <v>0</v>
      </c>
    </row>
    <row r="679" spans="1:7" x14ac:dyDescent="0.25">
      <c r="A679" s="1" t="s">
        <v>17</v>
      </c>
      <c r="B679">
        <v>8</v>
      </c>
      <c r="C679">
        <v>70</v>
      </c>
      <c r="D679" s="1" t="s">
        <v>19</v>
      </c>
      <c r="E679">
        <v>0.5</v>
      </c>
      <c r="F679">
        <v>5.0000000000000001E-3</v>
      </c>
      <c r="G679" t="b">
        <f>OR(DM_Control_Error_Param__3[[#This Row],[aperture shift (% actuator pitch)]]&gt;10,DM_Control_Error_Param__3[[#This Row],[log-amplitude variance ]]&gt;0.1)</f>
        <v>0</v>
      </c>
    </row>
    <row r="680" spans="1:7" x14ac:dyDescent="0.25">
      <c r="A680" s="1" t="s">
        <v>17</v>
      </c>
      <c r="B680">
        <v>8</v>
      </c>
      <c r="C680">
        <v>80</v>
      </c>
      <c r="D680" s="1" t="s">
        <v>19</v>
      </c>
      <c r="E680">
        <v>0.7</v>
      </c>
      <c r="F680">
        <v>1.2E-2</v>
      </c>
      <c r="G680" t="b">
        <f>OR(DM_Control_Error_Param__3[[#This Row],[aperture shift (% actuator pitch)]]&gt;10,DM_Control_Error_Param__3[[#This Row],[log-amplitude variance ]]&gt;0.1)</f>
        <v>0</v>
      </c>
    </row>
    <row r="681" spans="1:7" x14ac:dyDescent="0.25">
      <c r="A681" s="1" t="s">
        <v>17</v>
      </c>
      <c r="B681">
        <v>5</v>
      </c>
      <c r="C681">
        <v>0</v>
      </c>
      <c r="D681" s="1" t="s">
        <v>19</v>
      </c>
      <c r="E681">
        <v>0.4</v>
      </c>
      <c r="F681">
        <v>4.0000000000000001E-3</v>
      </c>
      <c r="G681" t="b">
        <f>OR(DM_Control_Error_Param__3[[#This Row],[aperture shift (% actuator pitch)]]&gt;10,DM_Control_Error_Param__3[[#This Row],[log-amplitude variance ]]&gt;0.1)</f>
        <v>0</v>
      </c>
    </row>
    <row r="682" spans="1:7" x14ac:dyDescent="0.25">
      <c r="A682" s="1" t="s">
        <v>17</v>
      </c>
      <c r="B682">
        <v>5</v>
      </c>
      <c r="C682">
        <v>30</v>
      </c>
      <c r="D682" s="1" t="s">
        <v>19</v>
      </c>
      <c r="E682">
        <v>0.4</v>
      </c>
      <c r="F682">
        <v>4.0000000000000001E-3</v>
      </c>
      <c r="G682" t="b">
        <f>OR(DM_Control_Error_Param__3[[#This Row],[aperture shift (% actuator pitch)]]&gt;10,DM_Control_Error_Param__3[[#This Row],[log-amplitude variance ]]&gt;0.1)</f>
        <v>0</v>
      </c>
    </row>
    <row r="683" spans="1:7" x14ac:dyDescent="0.25">
      <c r="A683" s="1" t="s">
        <v>17</v>
      </c>
      <c r="B683">
        <v>5</v>
      </c>
      <c r="C683">
        <v>45</v>
      </c>
      <c r="D683" s="1" t="s">
        <v>19</v>
      </c>
      <c r="E683">
        <v>0.5</v>
      </c>
      <c r="F683">
        <v>5.0000000000000001E-3</v>
      </c>
      <c r="G683" t="b">
        <f>OR(DM_Control_Error_Param__3[[#This Row],[aperture shift (% actuator pitch)]]&gt;10,DM_Control_Error_Param__3[[#This Row],[log-amplitude variance ]]&gt;0.1)</f>
        <v>0</v>
      </c>
    </row>
    <row r="684" spans="1:7" x14ac:dyDescent="0.25">
      <c r="A684" s="1" t="s">
        <v>17</v>
      </c>
      <c r="B684">
        <v>5</v>
      </c>
      <c r="C684">
        <v>60</v>
      </c>
      <c r="D684" s="1" t="s">
        <v>19</v>
      </c>
      <c r="E684">
        <v>0.6</v>
      </c>
      <c r="F684">
        <v>7.0000000000000001E-3</v>
      </c>
      <c r="G684" t="b">
        <f>OR(DM_Control_Error_Param__3[[#This Row],[aperture shift (% actuator pitch)]]&gt;10,DM_Control_Error_Param__3[[#This Row],[log-amplitude variance ]]&gt;0.1)</f>
        <v>0</v>
      </c>
    </row>
    <row r="685" spans="1:7" x14ac:dyDescent="0.25">
      <c r="A685" s="1" t="s">
        <v>17</v>
      </c>
      <c r="B685">
        <v>5</v>
      </c>
      <c r="C685">
        <v>70</v>
      </c>
      <c r="D685" s="1" t="s">
        <v>19</v>
      </c>
      <c r="E685">
        <v>0.7</v>
      </c>
      <c r="F685">
        <v>1.2E-2</v>
      </c>
      <c r="G685" t="b">
        <f>OR(DM_Control_Error_Param__3[[#This Row],[aperture shift (% actuator pitch)]]&gt;10,DM_Control_Error_Param__3[[#This Row],[log-amplitude variance ]]&gt;0.1)</f>
        <v>0</v>
      </c>
    </row>
    <row r="686" spans="1:7" x14ac:dyDescent="0.25">
      <c r="A686" s="1" t="s">
        <v>17</v>
      </c>
      <c r="B686">
        <v>5</v>
      </c>
      <c r="C686">
        <v>80</v>
      </c>
      <c r="D686" s="1" t="s">
        <v>19</v>
      </c>
      <c r="E686">
        <v>1.1000000000000001</v>
      </c>
      <c r="F686">
        <v>2.5999999999999999E-2</v>
      </c>
      <c r="G686" t="b">
        <f>OR(DM_Control_Error_Param__3[[#This Row],[aperture shift (% actuator pitch)]]&gt;10,DM_Control_Error_Param__3[[#This Row],[log-amplitude variance ]]&gt;0.1)</f>
        <v>0</v>
      </c>
    </row>
    <row r="687" spans="1:7" x14ac:dyDescent="0.25">
      <c r="A687" s="1" t="s">
        <v>17</v>
      </c>
      <c r="B687">
        <v>3</v>
      </c>
      <c r="C687">
        <v>0</v>
      </c>
      <c r="D687" s="1" t="s">
        <v>19</v>
      </c>
      <c r="E687">
        <v>0.6</v>
      </c>
      <c r="F687">
        <v>8.9999999999999993E-3</v>
      </c>
      <c r="G687" t="b">
        <f>OR(DM_Control_Error_Param__3[[#This Row],[aperture shift (% actuator pitch)]]&gt;10,DM_Control_Error_Param__3[[#This Row],[log-amplitude variance ]]&gt;0.1)</f>
        <v>0</v>
      </c>
    </row>
    <row r="688" spans="1:7" x14ac:dyDescent="0.25">
      <c r="A688" s="1" t="s">
        <v>17</v>
      </c>
      <c r="B688">
        <v>3</v>
      </c>
      <c r="C688">
        <v>30</v>
      </c>
      <c r="D688" s="1" t="s">
        <v>19</v>
      </c>
      <c r="E688">
        <v>0.7</v>
      </c>
      <c r="F688">
        <v>0.01</v>
      </c>
      <c r="G688" t="b">
        <f>OR(DM_Control_Error_Param__3[[#This Row],[aperture shift (% actuator pitch)]]&gt;10,DM_Control_Error_Param__3[[#This Row],[log-amplitude variance ]]&gt;0.1)</f>
        <v>0</v>
      </c>
    </row>
    <row r="689" spans="1:7" x14ac:dyDescent="0.25">
      <c r="A689" s="1" t="s">
        <v>17</v>
      </c>
      <c r="B689">
        <v>3</v>
      </c>
      <c r="C689">
        <v>45</v>
      </c>
      <c r="D689" s="1" t="s">
        <v>19</v>
      </c>
      <c r="E689">
        <v>0.7</v>
      </c>
      <c r="F689">
        <v>1.0999999999999999E-2</v>
      </c>
      <c r="G689" t="b">
        <f>OR(DM_Control_Error_Param__3[[#This Row],[aperture shift (% actuator pitch)]]&gt;10,DM_Control_Error_Param__3[[#This Row],[log-amplitude variance ]]&gt;0.1)</f>
        <v>0</v>
      </c>
    </row>
    <row r="690" spans="1:7" x14ac:dyDescent="0.25">
      <c r="A690" s="1" t="s">
        <v>17</v>
      </c>
      <c r="B690">
        <v>3</v>
      </c>
      <c r="C690">
        <v>60</v>
      </c>
      <c r="D690" s="1" t="s">
        <v>19</v>
      </c>
      <c r="E690">
        <v>0.9</v>
      </c>
      <c r="F690">
        <v>1.6E-2</v>
      </c>
      <c r="G690" t="b">
        <f>OR(DM_Control_Error_Param__3[[#This Row],[aperture shift (% actuator pitch)]]&gt;10,DM_Control_Error_Param__3[[#This Row],[log-amplitude variance ]]&gt;0.1)</f>
        <v>0</v>
      </c>
    </row>
    <row r="691" spans="1:7" x14ac:dyDescent="0.25">
      <c r="A691" s="1" t="s">
        <v>17</v>
      </c>
      <c r="B691">
        <v>3</v>
      </c>
      <c r="C691">
        <v>70</v>
      </c>
      <c r="D691" s="1" t="s">
        <v>19</v>
      </c>
      <c r="E691">
        <v>1.1000000000000001</v>
      </c>
      <c r="F691">
        <v>2.7E-2</v>
      </c>
      <c r="G691" t="b">
        <f>OR(DM_Control_Error_Param__3[[#This Row],[aperture shift (% actuator pitch)]]&gt;10,DM_Control_Error_Param__3[[#This Row],[log-amplitude variance ]]&gt;0.1)</f>
        <v>0</v>
      </c>
    </row>
    <row r="692" spans="1:7" x14ac:dyDescent="0.25">
      <c r="A692" s="1" t="s">
        <v>17</v>
      </c>
      <c r="B692">
        <v>3</v>
      </c>
      <c r="C692">
        <v>80</v>
      </c>
      <c r="D692" s="1" t="s">
        <v>19</v>
      </c>
      <c r="E692">
        <v>1.6</v>
      </c>
      <c r="F692">
        <v>0.06</v>
      </c>
      <c r="G692" t="b">
        <f>OR(DM_Control_Error_Param__3[[#This Row],[aperture shift (% actuator pitch)]]&gt;10,DM_Control_Error_Param__3[[#This Row],[log-amplitude variance ]]&gt;0.1)</f>
        <v>0</v>
      </c>
    </row>
    <row r="693" spans="1:7" x14ac:dyDescent="0.25">
      <c r="A693" s="1" t="s">
        <v>17</v>
      </c>
      <c r="B693">
        <v>2</v>
      </c>
      <c r="C693">
        <v>0</v>
      </c>
      <c r="D693" s="1" t="s">
        <v>19</v>
      </c>
      <c r="E693">
        <v>0.9</v>
      </c>
      <c r="F693">
        <v>1.7999999999999999E-2</v>
      </c>
      <c r="G693" t="b">
        <f>OR(DM_Control_Error_Param__3[[#This Row],[aperture shift (% actuator pitch)]]&gt;10,DM_Control_Error_Param__3[[#This Row],[log-amplitude variance ]]&gt;0.1)</f>
        <v>0</v>
      </c>
    </row>
    <row r="694" spans="1:7" x14ac:dyDescent="0.25">
      <c r="A694" s="1" t="s">
        <v>17</v>
      </c>
      <c r="B694">
        <v>2</v>
      </c>
      <c r="C694">
        <v>30</v>
      </c>
      <c r="D694" s="1" t="s">
        <v>19</v>
      </c>
      <c r="E694">
        <v>0.9</v>
      </c>
      <c r="F694">
        <v>1.9E-2</v>
      </c>
      <c r="G694" t="b">
        <f>OR(DM_Control_Error_Param__3[[#This Row],[aperture shift (% actuator pitch)]]&gt;10,DM_Control_Error_Param__3[[#This Row],[log-amplitude variance ]]&gt;0.1)</f>
        <v>0</v>
      </c>
    </row>
    <row r="695" spans="1:7" x14ac:dyDescent="0.25">
      <c r="A695" s="1" t="s">
        <v>17</v>
      </c>
      <c r="B695">
        <v>2</v>
      </c>
      <c r="C695">
        <v>45</v>
      </c>
      <c r="D695" s="1" t="s">
        <v>19</v>
      </c>
      <c r="E695">
        <v>1</v>
      </c>
      <c r="F695">
        <v>2.1999999999999999E-2</v>
      </c>
      <c r="G695" t="b">
        <f>OR(DM_Control_Error_Param__3[[#This Row],[aperture shift (% actuator pitch)]]&gt;10,DM_Control_Error_Param__3[[#This Row],[log-amplitude variance ]]&gt;0.1)</f>
        <v>0</v>
      </c>
    </row>
    <row r="696" spans="1:7" x14ac:dyDescent="0.25">
      <c r="A696" s="1" t="s">
        <v>17</v>
      </c>
      <c r="B696">
        <v>2</v>
      </c>
      <c r="C696">
        <v>60</v>
      </c>
      <c r="D696" s="1" t="s">
        <v>19</v>
      </c>
      <c r="E696">
        <v>1.2</v>
      </c>
      <c r="F696">
        <v>3.2000000000000001E-2</v>
      </c>
      <c r="G696" t="b">
        <f>OR(DM_Control_Error_Param__3[[#This Row],[aperture shift (% actuator pitch)]]&gt;10,DM_Control_Error_Param__3[[#This Row],[log-amplitude variance ]]&gt;0.1)</f>
        <v>0</v>
      </c>
    </row>
    <row r="697" spans="1:7" x14ac:dyDescent="0.25">
      <c r="A697" s="1" t="s">
        <v>17</v>
      </c>
      <c r="B697">
        <v>2</v>
      </c>
      <c r="C697">
        <v>70</v>
      </c>
      <c r="D697" s="1" t="s">
        <v>19</v>
      </c>
      <c r="E697">
        <v>1.5</v>
      </c>
      <c r="F697">
        <v>5.2999999999999999E-2</v>
      </c>
      <c r="G697" t="b">
        <f>OR(DM_Control_Error_Param__3[[#This Row],[aperture shift (% actuator pitch)]]&gt;10,DM_Control_Error_Param__3[[#This Row],[log-amplitude variance ]]&gt;0.1)</f>
        <v>0</v>
      </c>
    </row>
    <row r="698" spans="1:7" x14ac:dyDescent="0.25">
      <c r="A698" s="1" t="s">
        <v>22</v>
      </c>
      <c r="B698">
        <v>14</v>
      </c>
      <c r="C698">
        <v>0</v>
      </c>
      <c r="D698" s="1" t="s">
        <v>24</v>
      </c>
      <c r="E698">
        <v>0.1</v>
      </c>
      <c r="F698">
        <v>2E-3</v>
      </c>
      <c r="G698" t="b">
        <f>OR(DM_Control_Error_Param__3[[#This Row],[aperture shift (% actuator pitch)]]&gt;10,DM_Control_Error_Param__3[[#This Row],[log-amplitude variance ]]&gt;0.1)</f>
        <v>0</v>
      </c>
    </row>
    <row r="699" spans="1:7" x14ac:dyDescent="0.25">
      <c r="A699" s="1" t="s">
        <v>22</v>
      </c>
      <c r="B699">
        <v>14</v>
      </c>
      <c r="C699">
        <v>30</v>
      </c>
      <c r="D699" s="1" t="s">
        <v>24</v>
      </c>
      <c r="E699">
        <v>0.1</v>
      </c>
      <c r="F699">
        <v>2E-3</v>
      </c>
      <c r="G699" t="b">
        <f>OR(DM_Control_Error_Param__3[[#This Row],[aperture shift (% actuator pitch)]]&gt;10,DM_Control_Error_Param__3[[#This Row],[log-amplitude variance ]]&gt;0.1)</f>
        <v>0</v>
      </c>
    </row>
    <row r="700" spans="1:7" x14ac:dyDescent="0.25">
      <c r="A700" s="1" t="s">
        <v>22</v>
      </c>
      <c r="B700">
        <v>14</v>
      </c>
      <c r="C700">
        <v>45</v>
      </c>
      <c r="D700" s="1" t="s">
        <v>24</v>
      </c>
      <c r="E700">
        <v>0.1</v>
      </c>
      <c r="F700">
        <v>2E-3</v>
      </c>
      <c r="G700" t="b">
        <f>OR(DM_Control_Error_Param__3[[#This Row],[aperture shift (% actuator pitch)]]&gt;10,DM_Control_Error_Param__3[[#This Row],[log-amplitude variance ]]&gt;0.1)</f>
        <v>0</v>
      </c>
    </row>
    <row r="701" spans="1:7" x14ac:dyDescent="0.25">
      <c r="A701" s="1" t="s">
        <v>22</v>
      </c>
      <c r="B701">
        <v>14</v>
      </c>
      <c r="C701">
        <v>60</v>
      </c>
      <c r="D701" s="1" t="s">
        <v>24</v>
      </c>
      <c r="E701">
        <v>0.1</v>
      </c>
      <c r="F701">
        <v>3.0000000000000001E-3</v>
      </c>
      <c r="G701" t="b">
        <f>OR(DM_Control_Error_Param__3[[#This Row],[aperture shift (% actuator pitch)]]&gt;10,DM_Control_Error_Param__3[[#This Row],[log-amplitude variance ]]&gt;0.1)</f>
        <v>0</v>
      </c>
    </row>
    <row r="702" spans="1:7" x14ac:dyDescent="0.25">
      <c r="A702" s="1" t="s">
        <v>22</v>
      </c>
      <c r="B702">
        <v>14</v>
      </c>
      <c r="C702">
        <v>70</v>
      </c>
      <c r="D702" s="1" t="s">
        <v>24</v>
      </c>
      <c r="E702">
        <v>0.1</v>
      </c>
      <c r="F702">
        <v>5.0000000000000001E-3</v>
      </c>
      <c r="G702" t="b">
        <f>OR(DM_Control_Error_Param__3[[#This Row],[aperture shift (% actuator pitch)]]&gt;10,DM_Control_Error_Param__3[[#This Row],[log-amplitude variance ]]&gt;0.1)</f>
        <v>0</v>
      </c>
    </row>
    <row r="703" spans="1:7" x14ac:dyDescent="0.25">
      <c r="A703" s="1" t="s">
        <v>22</v>
      </c>
      <c r="B703">
        <v>14</v>
      </c>
      <c r="C703">
        <v>80</v>
      </c>
      <c r="D703" s="1" t="s">
        <v>24</v>
      </c>
      <c r="E703">
        <v>0.2</v>
      </c>
      <c r="F703">
        <v>1.2E-2</v>
      </c>
      <c r="G703" t="b">
        <f>OR(DM_Control_Error_Param__3[[#This Row],[aperture shift (% actuator pitch)]]&gt;10,DM_Control_Error_Param__3[[#This Row],[log-amplitude variance ]]&gt;0.1)</f>
        <v>0</v>
      </c>
    </row>
    <row r="704" spans="1:7" x14ac:dyDescent="0.25">
      <c r="A704" s="1" t="s">
        <v>22</v>
      </c>
      <c r="B704">
        <v>11</v>
      </c>
      <c r="C704">
        <v>0</v>
      </c>
      <c r="D704" s="1" t="s">
        <v>24</v>
      </c>
      <c r="E704">
        <v>0.1</v>
      </c>
      <c r="F704">
        <v>3.0000000000000001E-3</v>
      </c>
      <c r="G704" t="b">
        <f>OR(DM_Control_Error_Param__3[[#This Row],[aperture shift (% actuator pitch)]]&gt;10,DM_Control_Error_Param__3[[#This Row],[log-amplitude variance ]]&gt;0.1)</f>
        <v>0</v>
      </c>
    </row>
    <row r="705" spans="1:7" x14ac:dyDescent="0.25">
      <c r="A705" s="1" t="s">
        <v>22</v>
      </c>
      <c r="B705">
        <v>11</v>
      </c>
      <c r="C705">
        <v>30</v>
      </c>
      <c r="D705" s="1" t="s">
        <v>24</v>
      </c>
      <c r="E705">
        <v>0.1</v>
      </c>
      <c r="F705">
        <v>3.0000000000000001E-3</v>
      </c>
      <c r="G705" t="b">
        <f>OR(DM_Control_Error_Param__3[[#This Row],[aperture shift (% actuator pitch)]]&gt;10,DM_Control_Error_Param__3[[#This Row],[log-amplitude variance ]]&gt;0.1)</f>
        <v>0</v>
      </c>
    </row>
    <row r="706" spans="1:7" x14ac:dyDescent="0.25">
      <c r="A706" s="1" t="s">
        <v>22</v>
      </c>
      <c r="B706">
        <v>11</v>
      </c>
      <c r="C706">
        <v>45</v>
      </c>
      <c r="D706" s="1" t="s">
        <v>24</v>
      </c>
      <c r="E706">
        <v>0.1</v>
      </c>
      <c r="F706">
        <v>3.0000000000000001E-3</v>
      </c>
      <c r="G706" t="b">
        <f>OR(DM_Control_Error_Param__3[[#This Row],[aperture shift (% actuator pitch)]]&gt;10,DM_Control_Error_Param__3[[#This Row],[log-amplitude variance ]]&gt;0.1)</f>
        <v>0</v>
      </c>
    </row>
    <row r="707" spans="1:7" x14ac:dyDescent="0.25">
      <c r="A707" s="1" t="s">
        <v>22</v>
      </c>
      <c r="B707">
        <v>11</v>
      </c>
      <c r="C707">
        <v>60</v>
      </c>
      <c r="D707" s="1" t="s">
        <v>24</v>
      </c>
      <c r="E707">
        <v>0.1</v>
      </c>
      <c r="F707">
        <v>4.0000000000000001E-3</v>
      </c>
      <c r="G707" t="b">
        <f>OR(DM_Control_Error_Param__3[[#This Row],[aperture shift (% actuator pitch)]]&gt;10,DM_Control_Error_Param__3[[#This Row],[log-amplitude variance ]]&gt;0.1)</f>
        <v>0</v>
      </c>
    </row>
    <row r="708" spans="1:7" x14ac:dyDescent="0.25">
      <c r="A708" s="1" t="s">
        <v>22</v>
      </c>
      <c r="B708">
        <v>11</v>
      </c>
      <c r="C708">
        <v>70</v>
      </c>
      <c r="D708" s="1" t="s">
        <v>24</v>
      </c>
      <c r="E708">
        <v>0.1</v>
      </c>
      <c r="F708">
        <v>7.0000000000000001E-3</v>
      </c>
      <c r="G708" t="b">
        <f>OR(DM_Control_Error_Param__3[[#This Row],[aperture shift (% actuator pitch)]]&gt;10,DM_Control_Error_Param__3[[#This Row],[log-amplitude variance ]]&gt;0.1)</f>
        <v>0</v>
      </c>
    </row>
    <row r="709" spans="1:7" x14ac:dyDescent="0.25">
      <c r="A709" s="1" t="s">
        <v>22</v>
      </c>
      <c r="B709">
        <v>11</v>
      </c>
      <c r="C709">
        <v>80</v>
      </c>
      <c r="D709" s="1" t="s">
        <v>24</v>
      </c>
      <c r="E709">
        <v>0.2</v>
      </c>
      <c r="F709">
        <v>1.7999999999999999E-2</v>
      </c>
      <c r="G709" t="b">
        <f>OR(DM_Control_Error_Param__3[[#This Row],[aperture shift (% actuator pitch)]]&gt;10,DM_Control_Error_Param__3[[#This Row],[log-amplitude variance ]]&gt;0.1)</f>
        <v>0</v>
      </c>
    </row>
    <row r="710" spans="1:7" x14ac:dyDescent="0.25">
      <c r="A710" s="1" t="s">
        <v>22</v>
      </c>
      <c r="B710">
        <v>8</v>
      </c>
      <c r="C710">
        <v>0</v>
      </c>
      <c r="D710" s="1" t="s">
        <v>24</v>
      </c>
      <c r="E710">
        <v>0.1</v>
      </c>
      <c r="F710">
        <v>5.0000000000000001E-3</v>
      </c>
      <c r="G710" t="b">
        <f>OR(DM_Control_Error_Param__3[[#This Row],[aperture shift (% actuator pitch)]]&gt;10,DM_Control_Error_Param__3[[#This Row],[log-amplitude variance ]]&gt;0.1)</f>
        <v>0</v>
      </c>
    </row>
    <row r="711" spans="1:7" x14ac:dyDescent="0.25">
      <c r="A711" s="1" t="s">
        <v>22</v>
      </c>
      <c r="B711">
        <v>8</v>
      </c>
      <c r="C711">
        <v>30</v>
      </c>
      <c r="D711" s="1" t="s">
        <v>24</v>
      </c>
      <c r="E711">
        <v>0.1</v>
      </c>
      <c r="F711">
        <v>5.0000000000000001E-3</v>
      </c>
      <c r="G711" t="b">
        <f>OR(DM_Control_Error_Param__3[[#This Row],[aperture shift (% actuator pitch)]]&gt;10,DM_Control_Error_Param__3[[#This Row],[log-amplitude variance ]]&gt;0.1)</f>
        <v>0</v>
      </c>
    </row>
    <row r="712" spans="1:7" x14ac:dyDescent="0.25">
      <c r="A712" s="1" t="s">
        <v>22</v>
      </c>
      <c r="B712">
        <v>8</v>
      </c>
      <c r="C712">
        <v>45</v>
      </c>
      <c r="D712" s="1" t="s">
        <v>24</v>
      </c>
      <c r="E712">
        <v>0.1</v>
      </c>
      <c r="F712">
        <v>6.0000000000000001E-3</v>
      </c>
      <c r="G712" t="b">
        <f>OR(DM_Control_Error_Param__3[[#This Row],[aperture shift (% actuator pitch)]]&gt;10,DM_Control_Error_Param__3[[#This Row],[log-amplitude variance ]]&gt;0.1)</f>
        <v>0</v>
      </c>
    </row>
    <row r="713" spans="1:7" x14ac:dyDescent="0.25">
      <c r="A713" s="1" t="s">
        <v>22</v>
      </c>
      <c r="B713">
        <v>8</v>
      </c>
      <c r="C713">
        <v>60</v>
      </c>
      <c r="D713" s="1" t="s">
        <v>24</v>
      </c>
      <c r="E713">
        <v>0.1</v>
      </c>
      <c r="F713">
        <v>7.0000000000000001E-3</v>
      </c>
      <c r="G713" t="b">
        <f>OR(DM_Control_Error_Param__3[[#This Row],[aperture shift (% actuator pitch)]]&gt;10,DM_Control_Error_Param__3[[#This Row],[log-amplitude variance ]]&gt;0.1)</f>
        <v>0</v>
      </c>
    </row>
    <row r="714" spans="1:7" x14ac:dyDescent="0.25">
      <c r="A714" s="1" t="s">
        <v>22</v>
      </c>
      <c r="B714">
        <v>8</v>
      </c>
      <c r="C714">
        <v>70</v>
      </c>
      <c r="D714" s="1" t="s">
        <v>24</v>
      </c>
      <c r="E714">
        <v>0.2</v>
      </c>
      <c r="F714">
        <v>1.2E-2</v>
      </c>
      <c r="G714" t="b">
        <f>OR(DM_Control_Error_Param__3[[#This Row],[aperture shift (% actuator pitch)]]&gt;10,DM_Control_Error_Param__3[[#This Row],[log-amplitude variance ]]&gt;0.1)</f>
        <v>0</v>
      </c>
    </row>
    <row r="715" spans="1:7" x14ac:dyDescent="0.25">
      <c r="A715" s="1" t="s">
        <v>22</v>
      </c>
      <c r="B715">
        <v>8</v>
      </c>
      <c r="C715">
        <v>80</v>
      </c>
      <c r="D715" s="1" t="s">
        <v>24</v>
      </c>
      <c r="E715">
        <v>0.3</v>
      </c>
      <c r="F715">
        <v>0.03</v>
      </c>
      <c r="G715" t="b">
        <f>OR(DM_Control_Error_Param__3[[#This Row],[aperture shift (% actuator pitch)]]&gt;10,DM_Control_Error_Param__3[[#This Row],[log-amplitude variance ]]&gt;0.1)</f>
        <v>0</v>
      </c>
    </row>
    <row r="716" spans="1:7" x14ac:dyDescent="0.25">
      <c r="A716" s="1" t="s">
        <v>22</v>
      </c>
      <c r="B716">
        <v>5</v>
      </c>
      <c r="C716">
        <v>0</v>
      </c>
      <c r="D716" s="1" t="s">
        <v>24</v>
      </c>
      <c r="E716">
        <v>0.2</v>
      </c>
      <c r="F716">
        <v>0.01</v>
      </c>
      <c r="G716" t="b">
        <f>OR(DM_Control_Error_Param__3[[#This Row],[aperture shift (% actuator pitch)]]&gt;10,DM_Control_Error_Param__3[[#This Row],[log-amplitude variance ]]&gt;0.1)</f>
        <v>0</v>
      </c>
    </row>
    <row r="717" spans="1:7" x14ac:dyDescent="0.25">
      <c r="A717" s="1" t="s">
        <v>22</v>
      </c>
      <c r="B717">
        <v>5</v>
      </c>
      <c r="C717">
        <v>30</v>
      </c>
      <c r="D717" s="1" t="s">
        <v>24</v>
      </c>
      <c r="E717">
        <v>0.2</v>
      </c>
      <c r="F717">
        <v>1.0999999999999999E-2</v>
      </c>
      <c r="G717" t="b">
        <f>OR(DM_Control_Error_Param__3[[#This Row],[aperture shift (% actuator pitch)]]&gt;10,DM_Control_Error_Param__3[[#This Row],[log-amplitude variance ]]&gt;0.1)</f>
        <v>0</v>
      </c>
    </row>
    <row r="718" spans="1:7" x14ac:dyDescent="0.25">
      <c r="A718" s="1" t="s">
        <v>22</v>
      </c>
      <c r="B718">
        <v>5</v>
      </c>
      <c r="C718">
        <v>45</v>
      </c>
      <c r="D718" s="1" t="s">
        <v>24</v>
      </c>
      <c r="E718">
        <v>0.2</v>
      </c>
      <c r="F718">
        <v>1.2E-2</v>
      </c>
      <c r="G718" t="b">
        <f>OR(DM_Control_Error_Param__3[[#This Row],[aperture shift (% actuator pitch)]]&gt;10,DM_Control_Error_Param__3[[#This Row],[log-amplitude variance ]]&gt;0.1)</f>
        <v>0</v>
      </c>
    </row>
    <row r="719" spans="1:7" x14ac:dyDescent="0.25">
      <c r="A719" s="1" t="s">
        <v>22</v>
      </c>
      <c r="B719">
        <v>5</v>
      </c>
      <c r="C719">
        <v>60</v>
      </c>
      <c r="D719" s="1" t="s">
        <v>24</v>
      </c>
      <c r="E719">
        <v>0.2</v>
      </c>
      <c r="F719">
        <v>1.4999999999999999E-2</v>
      </c>
      <c r="G719" t="b">
        <f>OR(DM_Control_Error_Param__3[[#This Row],[aperture shift (% actuator pitch)]]&gt;10,DM_Control_Error_Param__3[[#This Row],[log-amplitude variance ]]&gt;0.1)</f>
        <v>0</v>
      </c>
    </row>
    <row r="720" spans="1:7" x14ac:dyDescent="0.25">
      <c r="A720" s="1" t="s">
        <v>22</v>
      </c>
      <c r="B720">
        <v>5</v>
      </c>
      <c r="C720">
        <v>70</v>
      </c>
      <c r="D720" s="1" t="s">
        <v>24</v>
      </c>
      <c r="E720">
        <v>0.2</v>
      </c>
      <c r="F720">
        <v>2.7E-2</v>
      </c>
      <c r="G720" t="b">
        <f>OR(DM_Control_Error_Param__3[[#This Row],[aperture shift (% actuator pitch)]]&gt;10,DM_Control_Error_Param__3[[#This Row],[log-amplitude variance ]]&gt;0.1)</f>
        <v>0</v>
      </c>
    </row>
    <row r="721" spans="1:7" x14ac:dyDescent="0.25">
      <c r="A721" s="1" t="s">
        <v>22</v>
      </c>
      <c r="B721">
        <v>5</v>
      </c>
      <c r="C721">
        <v>80</v>
      </c>
      <c r="D721" s="1" t="s">
        <v>24</v>
      </c>
      <c r="E721">
        <v>0.4</v>
      </c>
      <c r="F721">
        <v>6.6000000000000003E-2</v>
      </c>
      <c r="G721" t="b">
        <f>OR(DM_Control_Error_Param__3[[#This Row],[aperture shift (% actuator pitch)]]&gt;10,DM_Control_Error_Param__3[[#This Row],[log-amplitude variance ]]&gt;0.1)</f>
        <v>0</v>
      </c>
    </row>
    <row r="722" spans="1:7" x14ac:dyDescent="0.25">
      <c r="A722" s="1" t="s">
        <v>22</v>
      </c>
      <c r="B722">
        <v>3</v>
      </c>
      <c r="C722">
        <v>0</v>
      </c>
      <c r="D722" s="1" t="s">
        <v>24</v>
      </c>
      <c r="E722">
        <v>0.2</v>
      </c>
      <c r="F722">
        <v>2.4E-2</v>
      </c>
      <c r="G722" t="b">
        <f>OR(DM_Control_Error_Param__3[[#This Row],[aperture shift (% actuator pitch)]]&gt;10,DM_Control_Error_Param__3[[#This Row],[log-amplitude variance ]]&gt;0.1)</f>
        <v>0</v>
      </c>
    </row>
    <row r="723" spans="1:7" x14ac:dyDescent="0.25">
      <c r="A723" s="1" t="s">
        <v>22</v>
      </c>
      <c r="B723">
        <v>3</v>
      </c>
      <c r="C723">
        <v>30</v>
      </c>
      <c r="D723" s="1" t="s">
        <v>24</v>
      </c>
      <c r="E723">
        <v>0.2</v>
      </c>
      <c r="F723">
        <v>2.5999999999999999E-2</v>
      </c>
      <c r="G723" t="b">
        <f>OR(DM_Control_Error_Param__3[[#This Row],[aperture shift (% actuator pitch)]]&gt;10,DM_Control_Error_Param__3[[#This Row],[log-amplitude variance ]]&gt;0.1)</f>
        <v>0</v>
      </c>
    </row>
    <row r="724" spans="1:7" x14ac:dyDescent="0.25">
      <c r="A724" s="1" t="s">
        <v>22</v>
      </c>
      <c r="B724">
        <v>3</v>
      </c>
      <c r="C724">
        <v>45</v>
      </c>
      <c r="D724" s="1" t="s">
        <v>24</v>
      </c>
      <c r="E724">
        <v>0.3</v>
      </c>
      <c r="F724">
        <v>2.9000000000000001E-2</v>
      </c>
      <c r="G724" t="b">
        <f>OR(DM_Control_Error_Param__3[[#This Row],[aperture shift (% actuator pitch)]]&gt;10,DM_Control_Error_Param__3[[#This Row],[log-amplitude variance ]]&gt;0.1)</f>
        <v>0</v>
      </c>
    </row>
    <row r="725" spans="1:7" x14ac:dyDescent="0.25">
      <c r="A725" s="1" t="s">
        <v>22</v>
      </c>
      <c r="B725">
        <v>3</v>
      </c>
      <c r="C725">
        <v>60</v>
      </c>
      <c r="D725" s="1" t="s">
        <v>24</v>
      </c>
      <c r="E725">
        <v>0.3</v>
      </c>
      <c r="F725">
        <v>3.5000000000000003E-2</v>
      </c>
      <c r="G725" t="b">
        <f>OR(DM_Control_Error_Param__3[[#This Row],[aperture shift (% actuator pitch)]]&gt;10,DM_Control_Error_Param__3[[#This Row],[log-amplitude variance ]]&gt;0.1)</f>
        <v>0</v>
      </c>
    </row>
    <row r="726" spans="1:7" x14ac:dyDescent="0.25">
      <c r="A726" s="1" t="s">
        <v>22</v>
      </c>
      <c r="B726">
        <v>3</v>
      </c>
      <c r="C726">
        <v>70</v>
      </c>
      <c r="D726" s="1" t="s">
        <v>24</v>
      </c>
      <c r="E726">
        <v>0.4</v>
      </c>
      <c r="F726">
        <v>6.2E-2</v>
      </c>
      <c r="G726" t="b">
        <f>OR(DM_Control_Error_Param__3[[#This Row],[aperture shift (% actuator pitch)]]&gt;10,DM_Control_Error_Param__3[[#This Row],[log-amplitude variance ]]&gt;0.1)</f>
        <v>0</v>
      </c>
    </row>
    <row r="727" spans="1:7" x14ac:dyDescent="0.25">
      <c r="A727" s="1" t="s">
        <v>22</v>
      </c>
      <c r="B727">
        <v>2</v>
      </c>
      <c r="C727">
        <v>0</v>
      </c>
      <c r="D727" s="1" t="s">
        <v>24</v>
      </c>
      <c r="E727">
        <v>0.3</v>
      </c>
      <c r="F727">
        <v>4.7E-2</v>
      </c>
      <c r="G727" t="b">
        <f>OR(DM_Control_Error_Param__3[[#This Row],[aperture shift (% actuator pitch)]]&gt;10,DM_Control_Error_Param__3[[#This Row],[log-amplitude variance ]]&gt;0.1)</f>
        <v>0</v>
      </c>
    </row>
    <row r="728" spans="1:7" x14ac:dyDescent="0.25">
      <c r="A728" s="1" t="s">
        <v>22</v>
      </c>
      <c r="B728">
        <v>2</v>
      </c>
      <c r="C728">
        <v>30</v>
      </c>
      <c r="D728" s="1" t="s">
        <v>24</v>
      </c>
      <c r="E728">
        <v>0.3</v>
      </c>
      <c r="F728">
        <v>5.0999999999999997E-2</v>
      </c>
      <c r="G728" t="b">
        <f>OR(DM_Control_Error_Param__3[[#This Row],[aperture shift (% actuator pitch)]]&gt;10,DM_Control_Error_Param__3[[#This Row],[log-amplitude variance ]]&gt;0.1)</f>
        <v>0</v>
      </c>
    </row>
    <row r="729" spans="1:7" x14ac:dyDescent="0.25">
      <c r="A729" s="1" t="s">
        <v>22</v>
      </c>
      <c r="B729">
        <v>2</v>
      </c>
      <c r="C729">
        <v>45</v>
      </c>
      <c r="D729" s="1" t="s">
        <v>24</v>
      </c>
      <c r="E729">
        <v>0.4</v>
      </c>
      <c r="F729">
        <v>5.6000000000000001E-2</v>
      </c>
      <c r="G729" t="b">
        <f>OR(DM_Control_Error_Param__3[[#This Row],[aperture shift (% actuator pitch)]]&gt;10,DM_Control_Error_Param__3[[#This Row],[log-amplitude variance ]]&gt;0.1)</f>
        <v>0</v>
      </c>
    </row>
    <row r="730" spans="1:7" x14ac:dyDescent="0.25">
      <c r="A730" s="1" t="s">
        <v>22</v>
      </c>
      <c r="B730">
        <v>2</v>
      </c>
      <c r="C730">
        <v>60</v>
      </c>
      <c r="D730" s="1" t="s">
        <v>24</v>
      </c>
      <c r="E730">
        <v>0.4</v>
      </c>
      <c r="F730">
        <v>6.9000000000000006E-2</v>
      </c>
      <c r="G730" t="b">
        <f>OR(DM_Control_Error_Param__3[[#This Row],[aperture shift (% actuator pitch)]]&gt;10,DM_Control_Error_Param__3[[#This Row],[log-amplitude variance ]]&gt;0.1)</f>
        <v>0</v>
      </c>
    </row>
    <row r="731" spans="1:7" x14ac:dyDescent="0.25">
      <c r="A731" s="1" t="s">
        <v>10</v>
      </c>
      <c r="B731">
        <v>14</v>
      </c>
      <c r="C731">
        <v>0</v>
      </c>
      <c r="D731" s="1" t="s">
        <v>14</v>
      </c>
      <c r="E731">
        <v>0.5</v>
      </c>
      <c r="F731">
        <v>5.0000000000000001E-3</v>
      </c>
      <c r="G731" t="b">
        <f>OR(DM_Control_Error_Param__3[[#This Row],[aperture shift (% actuator pitch)]]&gt;10,DM_Control_Error_Param__3[[#This Row],[log-amplitude variance ]]&gt;0.1)</f>
        <v>0</v>
      </c>
    </row>
    <row r="732" spans="1:7" x14ac:dyDescent="0.25">
      <c r="A732" s="1" t="s">
        <v>10</v>
      </c>
      <c r="B732">
        <v>14</v>
      </c>
      <c r="C732">
        <v>30</v>
      </c>
      <c r="D732" s="1" t="s">
        <v>14</v>
      </c>
      <c r="E732">
        <v>0.5</v>
      </c>
      <c r="F732">
        <v>4.0000000000000001E-3</v>
      </c>
      <c r="G732" t="b">
        <f>OR(DM_Control_Error_Param__3[[#This Row],[aperture shift (% actuator pitch)]]&gt;10,DM_Control_Error_Param__3[[#This Row],[log-amplitude variance ]]&gt;0.1)</f>
        <v>0</v>
      </c>
    </row>
    <row r="733" spans="1:7" x14ac:dyDescent="0.25">
      <c r="A733" s="1" t="s">
        <v>10</v>
      </c>
      <c r="B733">
        <v>14</v>
      </c>
      <c r="C733">
        <v>45</v>
      </c>
      <c r="D733" s="1" t="s">
        <v>14</v>
      </c>
      <c r="E733">
        <v>0.5</v>
      </c>
      <c r="F733">
        <v>4.0000000000000001E-3</v>
      </c>
      <c r="G733" t="b">
        <f>OR(DM_Control_Error_Param__3[[#This Row],[aperture shift (% actuator pitch)]]&gt;10,DM_Control_Error_Param__3[[#This Row],[log-amplitude variance ]]&gt;0.1)</f>
        <v>0</v>
      </c>
    </row>
    <row r="734" spans="1:7" x14ac:dyDescent="0.25">
      <c r="A734" s="1" t="s">
        <v>10</v>
      </c>
      <c r="B734">
        <v>14</v>
      </c>
      <c r="C734">
        <v>60</v>
      </c>
      <c r="D734" s="1" t="s">
        <v>14</v>
      </c>
      <c r="E734">
        <v>0.5</v>
      </c>
      <c r="F734">
        <v>6.0000000000000001E-3</v>
      </c>
      <c r="G734" t="b">
        <f>OR(DM_Control_Error_Param__3[[#This Row],[aperture shift (% actuator pitch)]]&gt;10,DM_Control_Error_Param__3[[#This Row],[log-amplitude variance ]]&gt;0.1)</f>
        <v>0</v>
      </c>
    </row>
    <row r="735" spans="1:7" x14ac:dyDescent="0.25">
      <c r="A735" s="1" t="s">
        <v>10</v>
      </c>
      <c r="B735">
        <v>14</v>
      </c>
      <c r="C735">
        <v>70</v>
      </c>
      <c r="D735" s="1" t="s">
        <v>14</v>
      </c>
      <c r="E735">
        <v>0.7</v>
      </c>
      <c r="F735">
        <v>8.9999999999999993E-3</v>
      </c>
      <c r="G735" t="b">
        <f>OR(DM_Control_Error_Param__3[[#This Row],[aperture shift (% actuator pitch)]]&gt;10,DM_Control_Error_Param__3[[#This Row],[log-amplitude variance ]]&gt;0.1)</f>
        <v>0</v>
      </c>
    </row>
    <row r="736" spans="1:7" x14ac:dyDescent="0.25">
      <c r="A736" s="1" t="s">
        <v>10</v>
      </c>
      <c r="B736">
        <v>14</v>
      </c>
      <c r="C736">
        <v>80</v>
      </c>
      <c r="D736" s="1" t="s">
        <v>14</v>
      </c>
      <c r="E736">
        <v>1</v>
      </c>
      <c r="F736">
        <v>0.02</v>
      </c>
      <c r="G736" t="b">
        <f>OR(DM_Control_Error_Param__3[[#This Row],[aperture shift (% actuator pitch)]]&gt;10,DM_Control_Error_Param__3[[#This Row],[log-amplitude variance ]]&gt;0.1)</f>
        <v>0</v>
      </c>
    </row>
    <row r="737" spans="1:7" x14ac:dyDescent="0.25">
      <c r="A737" s="1" t="s">
        <v>10</v>
      </c>
      <c r="B737">
        <v>11</v>
      </c>
      <c r="C737">
        <v>0</v>
      </c>
      <c r="D737" s="1" t="s">
        <v>14</v>
      </c>
      <c r="E737">
        <v>0.7</v>
      </c>
      <c r="F737">
        <v>8.0000000000000002E-3</v>
      </c>
      <c r="G737" t="b">
        <f>OR(DM_Control_Error_Param__3[[#This Row],[aperture shift (% actuator pitch)]]&gt;10,DM_Control_Error_Param__3[[#This Row],[log-amplitude variance ]]&gt;0.1)</f>
        <v>0</v>
      </c>
    </row>
    <row r="738" spans="1:7" x14ac:dyDescent="0.25">
      <c r="A738" s="1" t="s">
        <v>10</v>
      </c>
      <c r="B738">
        <v>11</v>
      </c>
      <c r="C738">
        <v>30</v>
      </c>
      <c r="D738" s="1" t="s">
        <v>14</v>
      </c>
      <c r="E738">
        <v>0.6</v>
      </c>
      <c r="F738">
        <v>6.0000000000000001E-3</v>
      </c>
      <c r="G738" t="b">
        <f>OR(DM_Control_Error_Param__3[[#This Row],[aperture shift (% actuator pitch)]]&gt;10,DM_Control_Error_Param__3[[#This Row],[log-amplitude variance ]]&gt;0.1)</f>
        <v>0</v>
      </c>
    </row>
    <row r="739" spans="1:7" x14ac:dyDescent="0.25">
      <c r="A739" s="1" t="s">
        <v>10</v>
      </c>
      <c r="B739">
        <v>11</v>
      </c>
      <c r="C739">
        <v>45</v>
      </c>
      <c r="D739" s="1" t="s">
        <v>14</v>
      </c>
      <c r="E739">
        <v>0.6</v>
      </c>
      <c r="F739">
        <v>6.0000000000000001E-3</v>
      </c>
      <c r="G739" t="b">
        <f>OR(DM_Control_Error_Param__3[[#This Row],[aperture shift (% actuator pitch)]]&gt;10,DM_Control_Error_Param__3[[#This Row],[log-amplitude variance ]]&gt;0.1)</f>
        <v>0</v>
      </c>
    </row>
    <row r="740" spans="1:7" x14ac:dyDescent="0.25">
      <c r="A740" s="1" t="s">
        <v>10</v>
      </c>
      <c r="B740">
        <v>11</v>
      </c>
      <c r="C740">
        <v>60</v>
      </c>
      <c r="D740" s="1" t="s">
        <v>14</v>
      </c>
      <c r="E740">
        <v>0.7</v>
      </c>
      <c r="F740">
        <v>8.9999999999999993E-3</v>
      </c>
      <c r="G740" t="b">
        <f>OR(DM_Control_Error_Param__3[[#This Row],[aperture shift (% actuator pitch)]]&gt;10,DM_Control_Error_Param__3[[#This Row],[log-amplitude variance ]]&gt;0.1)</f>
        <v>0</v>
      </c>
    </row>
    <row r="741" spans="1:7" x14ac:dyDescent="0.25">
      <c r="A741" s="1" t="s">
        <v>10</v>
      </c>
      <c r="B741">
        <v>11</v>
      </c>
      <c r="C741">
        <v>70</v>
      </c>
      <c r="D741" s="1" t="s">
        <v>14</v>
      </c>
      <c r="E741">
        <v>0.8</v>
      </c>
      <c r="F741">
        <v>1.2999999999999999E-2</v>
      </c>
      <c r="G741" t="b">
        <f>OR(DM_Control_Error_Param__3[[#This Row],[aperture shift (% actuator pitch)]]&gt;10,DM_Control_Error_Param__3[[#This Row],[log-amplitude variance ]]&gt;0.1)</f>
        <v>0</v>
      </c>
    </row>
    <row r="742" spans="1:7" x14ac:dyDescent="0.25">
      <c r="A742" s="1" t="s">
        <v>10</v>
      </c>
      <c r="B742">
        <v>11</v>
      </c>
      <c r="C742">
        <v>80</v>
      </c>
      <c r="D742" s="1" t="s">
        <v>14</v>
      </c>
      <c r="E742">
        <v>1.2</v>
      </c>
      <c r="F742">
        <v>2.9000000000000001E-2</v>
      </c>
      <c r="G742" t="b">
        <f>OR(DM_Control_Error_Param__3[[#This Row],[aperture shift (% actuator pitch)]]&gt;10,DM_Control_Error_Param__3[[#This Row],[log-amplitude variance ]]&gt;0.1)</f>
        <v>0</v>
      </c>
    </row>
    <row r="743" spans="1:7" x14ac:dyDescent="0.25">
      <c r="A743" s="1" t="s">
        <v>10</v>
      </c>
      <c r="B743">
        <v>8</v>
      </c>
      <c r="C743">
        <v>0</v>
      </c>
      <c r="D743" s="1" t="s">
        <v>14</v>
      </c>
      <c r="E743">
        <v>0.9</v>
      </c>
      <c r="F743">
        <v>1.2999999999999999E-2</v>
      </c>
      <c r="G743" t="b">
        <f>OR(DM_Control_Error_Param__3[[#This Row],[aperture shift (% actuator pitch)]]&gt;10,DM_Control_Error_Param__3[[#This Row],[log-amplitude variance ]]&gt;0.1)</f>
        <v>0</v>
      </c>
    </row>
    <row r="744" spans="1:7" x14ac:dyDescent="0.25">
      <c r="A744" s="1" t="s">
        <v>10</v>
      </c>
      <c r="B744">
        <v>8</v>
      </c>
      <c r="C744">
        <v>30</v>
      </c>
      <c r="D744" s="1" t="s">
        <v>14</v>
      </c>
      <c r="E744">
        <v>0.7</v>
      </c>
      <c r="F744">
        <v>0.01</v>
      </c>
      <c r="G744" t="b">
        <f>OR(DM_Control_Error_Param__3[[#This Row],[aperture shift (% actuator pitch)]]&gt;10,DM_Control_Error_Param__3[[#This Row],[log-amplitude variance ]]&gt;0.1)</f>
        <v>0</v>
      </c>
    </row>
    <row r="745" spans="1:7" x14ac:dyDescent="0.25">
      <c r="A745" s="1" t="s">
        <v>10</v>
      </c>
      <c r="B745">
        <v>8</v>
      </c>
      <c r="C745">
        <v>45</v>
      </c>
      <c r="D745" s="1" t="s">
        <v>14</v>
      </c>
      <c r="E745">
        <v>0.7</v>
      </c>
      <c r="F745">
        <v>1.0999999999999999E-2</v>
      </c>
      <c r="G745" t="b">
        <f>OR(DM_Control_Error_Param__3[[#This Row],[aperture shift (% actuator pitch)]]&gt;10,DM_Control_Error_Param__3[[#This Row],[log-amplitude variance ]]&gt;0.1)</f>
        <v>0</v>
      </c>
    </row>
    <row r="746" spans="1:7" x14ac:dyDescent="0.25">
      <c r="A746" s="1" t="s">
        <v>10</v>
      </c>
      <c r="B746">
        <v>8</v>
      </c>
      <c r="C746">
        <v>60</v>
      </c>
      <c r="D746" s="1" t="s">
        <v>14</v>
      </c>
      <c r="E746">
        <v>0.9</v>
      </c>
      <c r="F746">
        <v>1.4999999999999999E-2</v>
      </c>
      <c r="G746" t="b">
        <f>OR(DM_Control_Error_Param__3[[#This Row],[aperture shift (% actuator pitch)]]&gt;10,DM_Control_Error_Param__3[[#This Row],[log-amplitude variance ]]&gt;0.1)</f>
        <v>0</v>
      </c>
    </row>
    <row r="747" spans="1:7" x14ac:dyDescent="0.25">
      <c r="A747" s="1" t="s">
        <v>10</v>
      </c>
      <c r="B747">
        <v>8</v>
      </c>
      <c r="C747">
        <v>70</v>
      </c>
      <c r="D747" s="1" t="s">
        <v>14</v>
      </c>
      <c r="E747">
        <v>1.1000000000000001</v>
      </c>
      <c r="F747">
        <v>2.3E-2</v>
      </c>
      <c r="G747" t="b">
        <f>OR(DM_Control_Error_Param__3[[#This Row],[aperture shift (% actuator pitch)]]&gt;10,DM_Control_Error_Param__3[[#This Row],[log-amplitude variance ]]&gt;0.1)</f>
        <v>0</v>
      </c>
    </row>
    <row r="748" spans="1:7" x14ac:dyDescent="0.25">
      <c r="A748" s="1" t="s">
        <v>10</v>
      </c>
      <c r="B748">
        <v>8</v>
      </c>
      <c r="C748">
        <v>80</v>
      </c>
      <c r="D748" s="1" t="s">
        <v>14</v>
      </c>
      <c r="E748">
        <v>1.6</v>
      </c>
      <c r="F748">
        <v>0.05</v>
      </c>
      <c r="G748" t="b">
        <f>OR(DM_Control_Error_Param__3[[#This Row],[aperture shift (% actuator pitch)]]&gt;10,DM_Control_Error_Param__3[[#This Row],[log-amplitude variance ]]&gt;0.1)</f>
        <v>0</v>
      </c>
    </row>
    <row r="749" spans="1:7" x14ac:dyDescent="0.25">
      <c r="A749" s="1" t="s">
        <v>10</v>
      </c>
      <c r="B749">
        <v>5</v>
      </c>
      <c r="C749">
        <v>0</v>
      </c>
      <c r="D749" s="1" t="s">
        <v>14</v>
      </c>
      <c r="E749">
        <v>1.3</v>
      </c>
      <c r="F749">
        <v>2.9000000000000001E-2</v>
      </c>
      <c r="G749" t="b">
        <f>OR(DM_Control_Error_Param__3[[#This Row],[aperture shift (% actuator pitch)]]&gt;10,DM_Control_Error_Param__3[[#This Row],[log-amplitude variance ]]&gt;0.1)</f>
        <v>0</v>
      </c>
    </row>
    <row r="750" spans="1:7" x14ac:dyDescent="0.25">
      <c r="A750" s="1" t="s">
        <v>10</v>
      </c>
      <c r="B750">
        <v>5</v>
      </c>
      <c r="C750">
        <v>30</v>
      </c>
      <c r="D750" s="1" t="s">
        <v>14</v>
      </c>
      <c r="E750">
        <v>1.1000000000000001</v>
      </c>
      <c r="F750">
        <v>2.3E-2</v>
      </c>
      <c r="G750" t="b">
        <f>OR(DM_Control_Error_Param__3[[#This Row],[aperture shift (% actuator pitch)]]&gt;10,DM_Control_Error_Param__3[[#This Row],[log-amplitude variance ]]&gt;0.1)</f>
        <v>0</v>
      </c>
    </row>
    <row r="751" spans="1:7" x14ac:dyDescent="0.25">
      <c r="A751" s="1" t="s">
        <v>10</v>
      </c>
      <c r="B751">
        <v>5</v>
      </c>
      <c r="C751">
        <v>45</v>
      </c>
      <c r="D751" s="1" t="s">
        <v>14</v>
      </c>
      <c r="E751">
        <v>1.1000000000000001</v>
      </c>
      <c r="F751">
        <v>2.3E-2</v>
      </c>
      <c r="G751" t="b">
        <f>OR(DM_Control_Error_Param__3[[#This Row],[aperture shift (% actuator pitch)]]&gt;10,DM_Control_Error_Param__3[[#This Row],[log-amplitude variance ]]&gt;0.1)</f>
        <v>0</v>
      </c>
    </row>
    <row r="752" spans="1:7" x14ac:dyDescent="0.25">
      <c r="A752" s="1" t="s">
        <v>10</v>
      </c>
      <c r="B752">
        <v>5</v>
      </c>
      <c r="C752">
        <v>60</v>
      </c>
      <c r="D752" s="1" t="s">
        <v>14</v>
      </c>
      <c r="E752">
        <v>1.3</v>
      </c>
      <c r="F752">
        <v>3.2000000000000001E-2</v>
      </c>
      <c r="G752" t="b">
        <f>OR(DM_Control_Error_Param__3[[#This Row],[aperture shift (% actuator pitch)]]&gt;10,DM_Control_Error_Param__3[[#This Row],[log-amplitude variance ]]&gt;0.1)</f>
        <v>0</v>
      </c>
    </row>
    <row r="753" spans="1:7" x14ac:dyDescent="0.25">
      <c r="A753" s="1" t="s">
        <v>10</v>
      </c>
      <c r="B753">
        <v>5</v>
      </c>
      <c r="C753">
        <v>70</v>
      </c>
      <c r="D753" s="1" t="s">
        <v>14</v>
      </c>
      <c r="E753">
        <v>1.6</v>
      </c>
      <c r="F753">
        <v>0.05</v>
      </c>
      <c r="G753" t="b">
        <f>OR(DM_Control_Error_Param__3[[#This Row],[aperture shift (% actuator pitch)]]&gt;10,DM_Control_Error_Param__3[[#This Row],[log-amplitude variance ]]&gt;0.1)</f>
        <v>0</v>
      </c>
    </row>
    <row r="754" spans="1:7" x14ac:dyDescent="0.25">
      <c r="A754" s="1" t="s">
        <v>10</v>
      </c>
      <c r="B754">
        <v>3</v>
      </c>
      <c r="C754">
        <v>0</v>
      </c>
      <c r="D754" s="1" t="s">
        <v>14</v>
      </c>
      <c r="E754">
        <v>2</v>
      </c>
      <c r="F754">
        <v>6.8000000000000005E-2</v>
      </c>
      <c r="G754" t="b">
        <f>OR(DM_Control_Error_Param__3[[#This Row],[aperture shift (% actuator pitch)]]&gt;10,DM_Control_Error_Param__3[[#This Row],[log-amplitude variance ]]&gt;0.1)</f>
        <v>0</v>
      </c>
    </row>
    <row r="755" spans="1:7" x14ac:dyDescent="0.25">
      <c r="A755" s="1" t="s">
        <v>10</v>
      </c>
      <c r="B755">
        <v>3</v>
      </c>
      <c r="C755">
        <v>30</v>
      </c>
      <c r="D755" s="1" t="s">
        <v>14</v>
      </c>
      <c r="E755">
        <v>1.7</v>
      </c>
      <c r="F755">
        <v>5.2999999999999999E-2</v>
      </c>
      <c r="G755" t="b">
        <f>OR(DM_Control_Error_Param__3[[#This Row],[aperture shift (% actuator pitch)]]&gt;10,DM_Control_Error_Param__3[[#This Row],[log-amplitude variance ]]&gt;0.1)</f>
        <v>0</v>
      </c>
    </row>
    <row r="756" spans="1:7" x14ac:dyDescent="0.25">
      <c r="A756" s="1" t="s">
        <v>10</v>
      </c>
      <c r="B756">
        <v>3</v>
      </c>
      <c r="C756">
        <v>45</v>
      </c>
      <c r="D756" s="1" t="s">
        <v>14</v>
      </c>
      <c r="E756">
        <v>1.7</v>
      </c>
      <c r="F756">
        <v>5.5E-2</v>
      </c>
      <c r="G756" t="b">
        <f>OR(DM_Control_Error_Param__3[[#This Row],[aperture shift (% actuator pitch)]]&gt;10,DM_Control_Error_Param__3[[#This Row],[log-amplitude variance ]]&gt;0.1)</f>
        <v>0</v>
      </c>
    </row>
    <row r="757" spans="1:7" x14ac:dyDescent="0.25">
      <c r="A757" s="1" t="s">
        <v>10</v>
      </c>
      <c r="B757">
        <v>3</v>
      </c>
      <c r="C757">
        <v>60</v>
      </c>
      <c r="D757" s="1" t="s">
        <v>14</v>
      </c>
      <c r="E757">
        <v>1.9</v>
      </c>
      <c r="F757">
        <v>7.5999999999999998E-2</v>
      </c>
      <c r="G757" t="b">
        <f>OR(DM_Control_Error_Param__3[[#This Row],[aperture shift (% actuator pitch)]]&gt;10,DM_Control_Error_Param__3[[#This Row],[log-amplitude variance ]]&gt;0.1)</f>
        <v>0</v>
      </c>
    </row>
    <row r="758" spans="1:7" x14ac:dyDescent="0.25">
      <c r="A758" s="1"/>
      <c r="D758" s="1"/>
      <c r="G758" t="b">
        <f>OR(DM_Control_Error_Param__3[[#This Row],[aperture shift (% actuator pitch)]]&gt;10,DM_Control_Error_Param__3[[#This Row],[log-amplitude variance ]]&gt;0.1)</f>
        <v>0</v>
      </c>
    </row>
    <row r="759" spans="1:7" x14ac:dyDescent="0.25">
      <c r="A759" s="1"/>
      <c r="D759" s="1"/>
      <c r="G759" t="b">
        <f>OR(DM_Control_Error_Param__3[[#This Row],[aperture shift (% actuator pitch)]]&gt;10,DM_Control_Error_Param__3[[#This Row],[log-amplitude variance ]]&gt;0.1)</f>
        <v>0</v>
      </c>
    </row>
    <row r="760" spans="1:7" x14ac:dyDescent="0.25">
      <c r="A760" s="1"/>
      <c r="D760" s="1"/>
      <c r="G760" t="b">
        <f>OR(DM_Control_Error_Param__3[[#This Row],[aperture shift (% actuator pitch)]]&gt;10,DM_Control_Error_Param__3[[#This Row],[log-amplitude variance ]]&gt;0.1)</f>
        <v>0</v>
      </c>
    </row>
    <row r="761" spans="1:7" x14ac:dyDescent="0.25">
      <c r="A761" s="1"/>
      <c r="D761" s="1"/>
      <c r="G761" t="b">
        <f>OR(DM_Control_Error_Param__3[[#This Row],[aperture shift (% actuator pitch)]]&gt;10,DM_Control_Error_Param__3[[#This Row],[log-amplitude variance ]]&gt;0.1)</f>
        <v>0</v>
      </c>
    </row>
    <row r="762" spans="1:7" x14ac:dyDescent="0.25">
      <c r="A762" s="1"/>
      <c r="D762" s="1"/>
      <c r="G762" t="b">
        <f>OR(DM_Control_Error_Param__3[[#This Row],[aperture shift (% actuator pitch)]]&gt;10,DM_Control_Error_Param__3[[#This Row],[log-amplitude variance ]]&gt;0.1)</f>
        <v>0</v>
      </c>
    </row>
    <row r="763" spans="1:7" x14ac:dyDescent="0.25">
      <c r="A763" s="1"/>
      <c r="D763" s="1"/>
      <c r="G763" t="b">
        <f>OR(DM_Control_Error_Param__3[[#This Row],[aperture shift (% actuator pitch)]]&gt;10,DM_Control_Error_Param__3[[#This Row],[log-amplitude variance ]]&gt;0.1)</f>
        <v>0</v>
      </c>
    </row>
    <row r="764" spans="1:7" x14ac:dyDescent="0.25">
      <c r="A764" s="1"/>
      <c r="D764" s="1"/>
      <c r="G764" t="b">
        <f>OR(DM_Control_Error_Param__3[[#This Row],[aperture shift (% actuator pitch)]]&gt;10,DM_Control_Error_Param__3[[#This Row],[log-amplitude variance ]]&gt;0.1)</f>
        <v>0</v>
      </c>
    </row>
    <row r="765" spans="1:7" x14ac:dyDescent="0.25">
      <c r="A765" s="1"/>
      <c r="D765" s="1"/>
      <c r="G765" t="b">
        <f>OR(DM_Control_Error_Param__3[[#This Row],[aperture shift (% actuator pitch)]]&gt;10,DM_Control_Error_Param__3[[#This Row],[log-amplitude variance ]]&gt;0.1)</f>
        <v>0</v>
      </c>
    </row>
    <row r="766" spans="1:7" x14ac:dyDescent="0.25">
      <c r="A766" s="1"/>
      <c r="D766" s="1"/>
      <c r="G766" t="b">
        <f>OR(DM_Control_Error_Param__3[[#This Row],[aperture shift (% actuator pitch)]]&gt;10,DM_Control_Error_Param__3[[#This Row],[log-amplitude variance ]]&gt;0.1)</f>
        <v>0</v>
      </c>
    </row>
    <row r="767" spans="1:7" x14ac:dyDescent="0.25">
      <c r="A767" s="1"/>
      <c r="D767" s="1"/>
      <c r="G767" t="b">
        <f>OR(DM_Control_Error_Param__3[[#This Row],[aperture shift (% actuator pitch)]]&gt;10,DM_Control_Error_Param__3[[#This Row],[log-amplitude variance ]]&gt;0.1)</f>
        <v>0</v>
      </c>
    </row>
    <row r="768" spans="1:7" x14ac:dyDescent="0.25">
      <c r="A768" s="1"/>
      <c r="D768" s="1"/>
      <c r="G768" t="b">
        <f>OR(DM_Control_Error_Param__3[[#This Row],[aperture shift (% actuator pitch)]]&gt;10,DM_Control_Error_Param__3[[#This Row],[log-amplitude variance ]]&gt;0.1)</f>
        <v>0</v>
      </c>
    </row>
    <row r="769" spans="1:7" x14ac:dyDescent="0.25">
      <c r="A769" s="1"/>
      <c r="D769" s="1"/>
      <c r="G769" t="b">
        <f>OR(DM_Control_Error_Param__3[[#This Row],[aperture shift (% actuator pitch)]]&gt;10,DM_Control_Error_Param__3[[#This Row],[log-amplitude variance ]]&gt;0.1)</f>
        <v>0</v>
      </c>
    </row>
    <row r="770" spans="1:7" x14ac:dyDescent="0.25">
      <c r="A770" s="1"/>
      <c r="D770" s="1"/>
      <c r="G770" t="b">
        <f>OR(DM_Control_Error_Param__3[[#This Row],[aperture shift (% actuator pitch)]]&gt;10,DM_Control_Error_Param__3[[#This Row],[log-amplitude variance ]]&gt;0.1)</f>
        <v>0</v>
      </c>
    </row>
    <row r="771" spans="1:7" x14ac:dyDescent="0.25">
      <c r="A771" s="1"/>
      <c r="D771" s="1"/>
      <c r="G771" t="b">
        <f>OR(DM_Control_Error_Param__3[[#This Row],[aperture shift (% actuator pitch)]]&gt;10,DM_Control_Error_Param__3[[#This Row],[log-amplitude variance ]]&gt;0.1)</f>
        <v>0</v>
      </c>
    </row>
    <row r="772" spans="1:7" x14ac:dyDescent="0.25">
      <c r="A772" s="1"/>
      <c r="D772" s="1"/>
      <c r="G772" t="b">
        <f>OR(DM_Control_Error_Param__3[[#This Row],[aperture shift (% actuator pitch)]]&gt;10,DM_Control_Error_Param__3[[#This Row],[log-amplitude variance ]]&gt;0.1)</f>
        <v>0</v>
      </c>
    </row>
    <row r="773" spans="1:7" x14ac:dyDescent="0.25">
      <c r="A773" s="1"/>
      <c r="D773" s="1"/>
      <c r="G773" t="b">
        <f>OR(DM_Control_Error_Param__3[[#This Row],[aperture shift (% actuator pitch)]]&gt;10,DM_Control_Error_Param__3[[#This Row],[log-amplitude variance ]]&gt;0.1)</f>
        <v>0</v>
      </c>
    </row>
    <row r="774" spans="1:7" x14ac:dyDescent="0.25">
      <c r="A774" s="1"/>
      <c r="D774" s="1"/>
      <c r="G774" t="b">
        <f>OR(DM_Control_Error_Param__3[[#This Row],[aperture shift (% actuator pitch)]]&gt;10,DM_Control_Error_Param__3[[#This Row],[log-amplitude variance ]]&gt;0.1)</f>
        <v>0</v>
      </c>
    </row>
    <row r="775" spans="1:7" x14ac:dyDescent="0.25">
      <c r="A775" s="1"/>
      <c r="D775" s="1"/>
      <c r="G775" t="b">
        <f>OR(DM_Control_Error_Param__3[[#This Row],[aperture shift (% actuator pitch)]]&gt;10,DM_Control_Error_Param__3[[#This Row],[log-amplitude variance ]]&gt;0.1)</f>
        <v>0</v>
      </c>
    </row>
    <row r="776" spans="1:7" x14ac:dyDescent="0.25">
      <c r="A776" s="1"/>
      <c r="D776" s="1"/>
      <c r="G776" t="b">
        <f>OR(DM_Control_Error_Param__3[[#This Row],[aperture shift (% actuator pitch)]]&gt;10,DM_Control_Error_Param__3[[#This Row],[log-amplitude variance ]]&gt;0.1)</f>
        <v>0</v>
      </c>
    </row>
    <row r="777" spans="1:7" x14ac:dyDescent="0.25">
      <c r="A777" s="1"/>
      <c r="D777" s="1"/>
      <c r="G777" t="b">
        <f>OR(DM_Control_Error_Param__3[[#This Row],[aperture shift (% actuator pitch)]]&gt;10,DM_Control_Error_Param__3[[#This Row],[log-amplitude variance ]]&gt;0.1)</f>
        <v>0</v>
      </c>
    </row>
    <row r="778" spans="1:7" x14ac:dyDescent="0.25">
      <c r="A778" s="1"/>
      <c r="D778" s="1"/>
      <c r="G778" t="b">
        <f>OR(DM_Control_Error_Param__3[[#This Row],[aperture shift (% actuator pitch)]]&gt;10,DM_Control_Error_Param__3[[#This Row],[log-amplitude variance ]]&gt;0.1)</f>
        <v>0</v>
      </c>
    </row>
    <row r="779" spans="1:7" x14ac:dyDescent="0.25">
      <c r="A779" s="1"/>
      <c r="D779" s="1"/>
      <c r="G779" t="b">
        <f>OR(DM_Control_Error_Param__3[[#This Row],[aperture shift (% actuator pitch)]]&gt;10,DM_Control_Error_Param__3[[#This Row],[log-amplitude variance ]]&gt;0.1)</f>
        <v>0</v>
      </c>
    </row>
    <row r="780" spans="1:7" x14ac:dyDescent="0.25">
      <c r="A780" s="1"/>
      <c r="D780" s="1"/>
      <c r="G780" t="b">
        <f>OR(DM_Control_Error_Param__3[[#This Row],[aperture shift (% actuator pitch)]]&gt;10,DM_Control_Error_Param__3[[#This Row],[log-amplitude variance ]]&gt;0.1)</f>
        <v>0</v>
      </c>
    </row>
    <row r="781" spans="1:7" x14ac:dyDescent="0.25">
      <c r="A781" s="1"/>
      <c r="D781" s="1"/>
      <c r="G781" t="b">
        <f>OR(DM_Control_Error_Param__3[[#This Row],[aperture shift (% actuator pitch)]]&gt;10,DM_Control_Error_Param__3[[#This Row],[log-amplitude variance ]]&gt;0.1)</f>
        <v>0</v>
      </c>
    </row>
    <row r="782" spans="1:7" x14ac:dyDescent="0.25">
      <c r="A782" s="1"/>
      <c r="D782" s="1"/>
      <c r="G782" t="b">
        <f>OR(DM_Control_Error_Param__3[[#This Row],[aperture shift (% actuator pitch)]]&gt;10,DM_Control_Error_Param__3[[#This Row],[log-amplitude variance ]]&gt;0.1)</f>
        <v>0</v>
      </c>
    </row>
    <row r="783" spans="1:7" x14ac:dyDescent="0.25">
      <c r="A783" s="1"/>
      <c r="D783" s="1"/>
      <c r="G783" t="b">
        <f>OR(DM_Control_Error_Param__3[[#This Row],[aperture shift (% actuator pitch)]]&gt;10,DM_Control_Error_Param__3[[#This Row],[log-amplitude variance ]]&gt;0.1)</f>
        <v>0</v>
      </c>
    </row>
    <row r="784" spans="1:7" x14ac:dyDescent="0.25">
      <c r="A784" s="1"/>
      <c r="D784" s="1"/>
      <c r="G784" t="b">
        <f>OR(DM_Control_Error_Param__3[[#This Row],[aperture shift (% actuator pitch)]]&gt;10,DM_Control_Error_Param__3[[#This Row],[log-amplitude variance ]]&gt;0.1)</f>
        <v>0</v>
      </c>
    </row>
    <row r="785" spans="1:7" x14ac:dyDescent="0.25">
      <c r="A785" s="1"/>
      <c r="D785" s="1"/>
      <c r="G785" t="b">
        <f>OR(DM_Control_Error_Param__3[[#This Row],[aperture shift (% actuator pitch)]]&gt;10,DM_Control_Error_Param__3[[#This Row],[log-amplitude variance ]]&gt;0.1)</f>
        <v>0</v>
      </c>
    </row>
    <row r="786" spans="1:7" x14ac:dyDescent="0.25">
      <c r="A786" s="1"/>
      <c r="D786" s="1"/>
      <c r="G786" t="b">
        <f>OR(DM_Control_Error_Param__3[[#This Row],[aperture shift (% actuator pitch)]]&gt;10,DM_Control_Error_Param__3[[#This Row],[log-amplitude variance ]]&gt;0.1)</f>
        <v>0</v>
      </c>
    </row>
    <row r="787" spans="1:7" x14ac:dyDescent="0.25">
      <c r="A787" s="1"/>
      <c r="D787" s="1"/>
      <c r="G787" t="b">
        <f>OR(DM_Control_Error_Param__3[[#This Row],[aperture shift (% actuator pitch)]]&gt;10,DM_Control_Error_Param__3[[#This Row],[log-amplitude variance ]]&gt;0.1)</f>
        <v>0</v>
      </c>
    </row>
    <row r="788" spans="1:7" x14ac:dyDescent="0.25">
      <c r="A788" s="1"/>
      <c r="D788" s="1"/>
      <c r="G788" t="b">
        <f>OR(DM_Control_Error_Param__3[[#This Row],[aperture shift (% actuator pitch)]]&gt;10,DM_Control_Error_Param__3[[#This Row],[log-amplitude variance ]]&gt;0.1)</f>
        <v>0</v>
      </c>
    </row>
    <row r="789" spans="1:7" x14ac:dyDescent="0.25">
      <c r="A789" s="1"/>
      <c r="D789" s="1"/>
      <c r="G789" t="b">
        <f>OR(DM_Control_Error_Param__3[[#This Row],[aperture shift (% actuator pitch)]]&gt;10,DM_Control_Error_Param__3[[#This Row],[log-amplitude variance ]]&gt;0.1)</f>
        <v>0</v>
      </c>
    </row>
    <row r="790" spans="1:7" x14ac:dyDescent="0.25">
      <c r="A790" s="1"/>
      <c r="D790" s="1"/>
      <c r="G790" t="b">
        <f>OR(DM_Control_Error_Param__3[[#This Row],[aperture shift (% actuator pitch)]]&gt;10,DM_Control_Error_Param__3[[#This Row],[log-amplitude variance ]]&gt;0.1)</f>
        <v>0</v>
      </c>
    </row>
    <row r="791" spans="1:7" x14ac:dyDescent="0.25">
      <c r="A791" s="1"/>
      <c r="D791" s="1"/>
      <c r="G791" t="b">
        <f>OR(DM_Control_Error_Param__3[[#This Row],[aperture shift (% actuator pitch)]]&gt;10,DM_Control_Error_Param__3[[#This Row],[log-amplitude variance ]]&gt;0.1)</f>
        <v>0</v>
      </c>
    </row>
    <row r="792" spans="1:7" x14ac:dyDescent="0.25">
      <c r="A792" s="1"/>
      <c r="D792" s="1"/>
      <c r="G792" t="b">
        <f>OR(DM_Control_Error_Param__3[[#This Row],[aperture shift (% actuator pitch)]]&gt;10,DM_Control_Error_Param__3[[#This Row],[log-amplitude variance ]]&gt;0.1)</f>
        <v>0</v>
      </c>
    </row>
    <row r="793" spans="1:7" x14ac:dyDescent="0.25">
      <c r="A793" s="1"/>
      <c r="D793" s="1"/>
      <c r="G793" t="b">
        <f>OR(DM_Control_Error_Param__3[[#This Row],[aperture shift (% actuator pitch)]]&gt;10,DM_Control_Error_Param__3[[#This Row],[log-amplitude variance ]]&gt;0.1)</f>
        <v>0</v>
      </c>
    </row>
    <row r="794" spans="1:7" x14ac:dyDescent="0.25">
      <c r="A794" s="1"/>
      <c r="D794" s="1"/>
      <c r="G794" t="b">
        <f>OR(DM_Control_Error_Param__3[[#This Row],[aperture shift (% actuator pitch)]]&gt;10,DM_Control_Error_Param__3[[#This Row],[log-amplitude variance ]]&gt;0.1)</f>
        <v>0</v>
      </c>
    </row>
    <row r="795" spans="1:7" x14ac:dyDescent="0.25">
      <c r="A795" s="1"/>
      <c r="D795" s="1"/>
      <c r="G795" t="b">
        <f>OR(DM_Control_Error_Param__3[[#This Row],[aperture shift (% actuator pitch)]]&gt;10,DM_Control_Error_Param__3[[#This Row],[log-amplitude variance ]]&gt;0.1)</f>
        <v>0</v>
      </c>
    </row>
    <row r="796" spans="1:7" x14ac:dyDescent="0.25">
      <c r="A796" s="1"/>
      <c r="D796" s="1"/>
      <c r="G796" t="b">
        <f>OR(DM_Control_Error_Param__3[[#This Row],[aperture shift (% actuator pitch)]]&gt;10,DM_Control_Error_Param__3[[#This Row],[log-amplitude variance ]]&gt;0.1)</f>
        <v>0</v>
      </c>
    </row>
    <row r="797" spans="1:7" x14ac:dyDescent="0.25">
      <c r="A797" s="1"/>
      <c r="D797" s="1"/>
      <c r="G797" t="b">
        <f>OR(DM_Control_Error_Param__3[[#This Row],[aperture shift (% actuator pitch)]]&gt;10,DM_Control_Error_Param__3[[#This Row],[log-amplitude variance ]]&gt;0.1)</f>
        <v>0</v>
      </c>
    </row>
    <row r="798" spans="1:7" x14ac:dyDescent="0.25">
      <c r="A798" s="1"/>
      <c r="D798" s="1"/>
      <c r="G798" t="b">
        <f>OR(DM_Control_Error_Param__3[[#This Row],[aperture shift (% actuator pitch)]]&gt;10,DM_Control_Error_Param__3[[#This Row],[log-amplitude variance ]]&gt;0.1)</f>
        <v>0</v>
      </c>
    </row>
    <row r="799" spans="1:7" x14ac:dyDescent="0.25">
      <c r="A799" s="1"/>
      <c r="D799" s="1"/>
      <c r="G799" t="b">
        <f>OR(DM_Control_Error_Param__3[[#This Row],[aperture shift (% actuator pitch)]]&gt;10,DM_Control_Error_Param__3[[#This Row],[log-amplitude variance ]]&gt;0.1)</f>
        <v>0</v>
      </c>
    </row>
    <row r="800" spans="1:7" x14ac:dyDescent="0.25">
      <c r="A800" s="1"/>
      <c r="D800" s="1"/>
      <c r="G800" t="b">
        <f>OR(DM_Control_Error_Param__3[[#This Row],[aperture shift (% actuator pitch)]]&gt;10,DM_Control_Error_Param__3[[#This Row],[log-amplitude variance ]]&gt;0.1)</f>
        <v>0</v>
      </c>
    </row>
    <row r="801" spans="1:7" x14ac:dyDescent="0.25">
      <c r="A801" s="1"/>
      <c r="D801" s="1"/>
      <c r="G801" t="b">
        <f>OR(DM_Control_Error_Param__3[[#This Row],[aperture shift (% actuator pitch)]]&gt;10,DM_Control_Error_Param__3[[#This Row],[log-amplitude variance ]]&gt;0.1)</f>
        <v>0</v>
      </c>
    </row>
    <row r="802" spans="1:7" x14ac:dyDescent="0.25">
      <c r="A802" s="1"/>
      <c r="D802" s="1"/>
      <c r="G802" t="b">
        <f>OR(DM_Control_Error_Param__3[[#This Row],[aperture shift (% actuator pitch)]]&gt;10,DM_Control_Error_Param__3[[#This Row],[log-amplitude variance ]]&gt;0.1)</f>
        <v>0</v>
      </c>
    </row>
    <row r="803" spans="1:7" x14ac:dyDescent="0.25">
      <c r="A803" s="1"/>
      <c r="D803" s="1"/>
      <c r="G803" t="b">
        <f>OR(DM_Control_Error_Param__3[[#This Row],[aperture shift (% actuator pitch)]]&gt;10,DM_Control_Error_Param__3[[#This Row],[log-amplitude variance ]]&gt;0.1)</f>
        <v>0</v>
      </c>
    </row>
    <row r="804" spans="1:7" x14ac:dyDescent="0.25">
      <c r="A804" s="1"/>
      <c r="D804" s="1"/>
      <c r="G804" t="b">
        <f>OR(DM_Control_Error_Param__3[[#This Row],[aperture shift (% actuator pitch)]]&gt;10,DM_Control_Error_Param__3[[#This Row],[log-amplitude variance ]]&gt;0.1)</f>
        <v>0</v>
      </c>
    </row>
    <row r="805" spans="1:7" x14ac:dyDescent="0.25">
      <c r="A805" s="1"/>
      <c r="D805" s="1"/>
      <c r="G805" t="b">
        <f>OR(DM_Control_Error_Param__3[[#This Row],[aperture shift (% actuator pitch)]]&gt;10,DM_Control_Error_Param__3[[#This Row],[log-amplitude variance ]]&gt;0.1)</f>
        <v>0</v>
      </c>
    </row>
    <row r="806" spans="1:7" x14ac:dyDescent="0.25">
      <c r="A806" s="1"/>
      <c r="D806" s="1"/>
      <c r="G806" t="b">
        <f>OR(DM_Control_Error_Param__3[[#This Row],[aperture shift (% actuator pitch)]]&gt;10,DM_Control_Error_Param__3[[#This Row],[log-amplitude variance ]]&gt;0.1)</f>
        <v>0</v>
      </c>
    </row>
    <row r="807" spans="1:7" x14ac:dyDescent="0.25">
      <c r="A807" s="1"/>
      <c r="D807" s="1"/>
      <c r="G807" t="b">
        <f>OR(DM_Control_Error_Param__3[[#This Row],[aperture shift (% actuator pitch)]]&gt;10,DM_Control_Error_Param__3[[#This Row],[log-amplitude variance ]]&gt;0.1)</f>
        <v>0</v>
      </c>
    </row>
    <row r="808" spans="1:7" x14ac:dyDescent="0.25">
      <c r="A808" s="1"/>
      <c r="D808" s="1"/>
      <c r="G808" t="b">
        <f>OR(DM_Control_Error_Param__3[[#This Row],[aperture shift (% actuator pitch)]]&gt;10,DM_Control_Error_Param__3[[#This Row],[log-amplitude variance ]]&gt;0.1)</f>
        <v>0</v>
      </c>
    </row>
    <row r="809" spans="1:7" x14ac:dyDescent="0.25">
      <c r="A809" s="1"/>
      <c r="D809" s="1"/>
      <c r="G809" t="b">
        <f>OR(DM_Control_Error_Param__3[[#This Row],[aperture shift (% actuator pitch)]]&gt;10,DM_Control_Error_Param__3[[#This Row],[log-amplitude variance ]]&gt;0.1)</f>
        <v>0</v>
      </c>
    </row>
    <row r="810" spans="1:7" x14ac:dyDescent="0.25">
      <c r="A810" s="1"/>
      <c r="D810" s="1"/>
      <c r="G810" t="b">
        <f>OR(DM_Control_Error_Param__3[[#This Row],[aperture shift (% actuator pitch)]]&gt;10,DM_Control_Error_Param__3[[#This Row],[log-amplitude variance ]]&gt;0.1)</f>
        <v>0</v>
      </c>
    </row>
    <row r="811" spans="1:7" x14ac:dyDescent="0.25">
      <c r="A811" s="1"/>
      <c r="D811" s="1"/>
      <c r="G811" t="b">
        <f>OR(DM_Control_Error_Param__3[[#This Row],[aperture shift (% actuator pitch)]]&gt;10,DM_Control_Error_Param__3[[#This Row],[log-amplitude variance ]]&gt;0.1)</f>
        <v>0</v>
      </c>
    </row>
    <row r="812" spans="1:7" x14ac:dyDescent="0.25">
      <c r="A812" s="1"/>
      <c r="D812" s="1"/>
      <c r="G812" t="b">
        <f>OR(DM_Control_Error_Param__3[[#This Row],[aperture shift (% actuator pitch)]]&gt;10,DM_Control_Error_Param__3[[#This Row],[log-amplitude variance ]]&gt;0.1)</f>
        <v>0</v>
      </c>
    </row>
    <row r="813" spans="1:7" x14ac:dyDescent="0.25">
      <c r="A813" s="1"/>
      <c r="D813" s="1"/>
      <c r="G813" t="b">
        <f>OR(DM_Control_Error_Param__3[[#This Row],[aperture shift (% actuator pitch)]]&gt;10,DM_Control_Error_Param__3[[#This Row],[log-amplitude variance ]]&gt;0.1)</f>
        <v>0</v>
      </c>
    </row>
    <row r="814" spans="1:7" x14ac:dyDescent="0.25">
      <c r="A814" s="1"/>
      <c r="D814" s="1"/>
      <c r="G814" t="b">
        <f>OR(DM_Control_Error_Param__3[[#This Row],[aperture shift (% actuator pitch)]]&gt;10,DM_Control_Error_Param__3[[#This Row],[log-amplitude variance ]]&gt;0.1)</f>
        <v>0</v>
      </c>
    </row>
    <row r="815" spans="1:7" x14ac:dyDescent="0.25">
      <c r="A815" s="1"/>
      <c r="D815" s="1"/>
      <c r="G815" t="b">
        <f>OR(DM_Control_Error_Param__3[[#This Row],[aperture shift (% actuator pitch)]]&gt;10,DM_Control_Error_Param__3[[#This Row],[log-amplitude variance ]]&gt;0.1)</f>
        <v>0</v>
      </c>
    </row>
    <row r="816" spans="1:7" x14ac:dyDescent="0.25">
      <c r="A816" s="1"/>
      <c r="D816" s="1"/>
      <c r="G816" t="b">
        <f>OR(DM_Control_Error_Param__3[[#This Row],[aperture shift (% actuator pitch)]]&gt;10,DM_Control_Error_Param__3[[#This Row],[log-amplitude variance ]]&gt;0.1)</f>
        <v>0</v>
      </c>
    </row>
    <row r="817" spans="1:7" x14ac:dyDescent="0.25">
      <c r="A817" s="1"/>
      <c r="D817" s="1"/>
      <c r="G817" t="b">
        <f>OR(DM_Control_Error_Param__3[[#This Row],[aperture shift (% actuator pitch)]]&gt;10,DM_Control_Error_Param__3[[#This Row],[log-amplitude variance ]]&gt;0.1)</f>
        <v>0</v>
      </c>
    </row>
    <row r="818" spans="1:7" x14ac:dyDescent="0.25">
      <c r="A818" s="1"/>
      <c r="D818" s="1"/>
      <c r="G818" t="b">
        <f>OR(DM_Control_Error_Param__3[[#This Row],[aperture shift (% actuator pitch)]]&gt;10,DM_Control_Error_Param__3[[#This Row],[log-amplitude variance ]]&gt;0.1)</f>
        <v>0</v>
      </c>
    </row>
    <row r="819" spans="1:7" x14ac:dyDescent="0.25">
      <c r="A819" s="1"/>
      <c r="D819" s="1"/>
      <c r="G819" t="b">
        <f>OR(DM_Control_Error_Param__3[[#This Row],[aperture shift (% actuator pitch)]]&gt;10,DM_Control_Error_Param__3[[#This Row],[log-amplitude variance ]]&gt;0.1)</f>
        <v>0</v>
      </c>
    </row>
    <row r="820" spans="1:7" x14ac:dyDescent="0.25">
      <c r="A820" s="1"/>
      <c r="D820" s="1"/>
      <c r="G820" t="b">
        <f>OR(DM_Control_Error_Param__3[[#This Row],[aperture shift (% actuator pitch)]]&gt;10,DM_Control_Error_Param__3[[#This Row],[log-amplitude variance ]]&gt;0.1)</f>
        <v>0</v>
      </c>
    </row>
    <row r="821" spans="1:7" x14ac:dyDescent="0.25">
      <c r="A821" s="1"/>
      <c r="D821" s="1"/>
      <c r="G821" t="b">
        <f>OR(DM_Control_Error_Param__3[[#This Row],[aperture shift (% actuator pitch)]]&gt;10,DM_Control_Error_Param__3[[#This Row],[log-amplitude variance ]]&gt;0.1)</f>
        <v>0</v>
      </c>
    </row>
    <row r="822" spans="1:7" x14ac:dyDescent="0.25">
      <c r="A822" s="1"/>
      <c r="D822" s="1"/>
      <c r="G822" t="b">
        <f>OR(DM_Control_Error_Param__3[[#This Row],[aperture shift (% actuator pitch)]]&gt;10,DM_Control_Error_Param__3[[#This Row],[log-amplitude variance ]]&gt;0.1)</f>
        <v>0</v>
      </c>
    </row>
    <row r="823" spans="1:7" x14ac:dyDescent="0.25">
      <c r="A823" s="1"/>
      <c r="D823" s="1"/>
      <c r="G823" t="b">
        <f>OR(DM_Control_Error_Param__3[[#This Row],[aperture shift (% actuator pitch)]]&gt;10,DM_Control_Error_Param__3[[#This Row],[log-amplitude variance ]]&gt;0.1)</f>
        <v>0</v>
      </c>
    </row>
    <row r="824" spans="1:7" x14ac:dyDescent="0.25">
      <c r="A824" s="1"/>
      <c r="D824" s="1"/>
      <c r="G824" t="b">
        <f>OR(DM_Control_Error_Param__3[[#This Row],[aperture shift (% actuator pitch)]]&gt;10,DM_Control_Error_Param__3[[#This Row],[log-amplitude variance ]]&gt;0.1)</f>
        <v>0</v>
      </c>
    </row>
    <row r="825" spans="1:7" x14ac:dyDescent="0.25">
      <c r="A825" s="1"/>
      <c r="D825" s="1"/>
      <c r="G825" t="b">
        <f>OR(DM_Control_Error_Param__3[[#This Row],[aperture shift (% actuator pitch)]]&gt;10,DM_Control_Error_Param__3[[#This Row],[log-amplitude variance ]]&gt;0.1)</f>
        <v>0</v>
      </c>
    </row>
    <row r="826" spans="1:7" x14ac:dyDescent="0.25">
      <c r="A826" s="1"/>
      <c r="D826" s="1"/>
      <c r="G826" t="b">
        <f>OR(DM_Control_Error_Param__3[[#This Row],[aperture shift (% actuator pitch)]]&gt;10,DM_Control_Error_Param__3[[#This Row],[log-amplitude variance ]]&gt;0.1)</f>
        <v>0</v>
      </c>
    </row>
    <row r="827" spans="1:7" x14ac:dyDescent="0.25">
      <c r="A827" s="1"/>
      <c r="D827" s="1"/>
      <c r="G827" t="b">
        <f>OR(DM_Control_Error_Param__3[[#This Row],[aperture shift (% actuator pitch)]]&gt;10,DM_Control_Error_Param__3[[#This Row],[log-amplitude variance ]]&gt;0.1)</f>
        <v>0</v>
      </c>
    </row>
    <row r="828" spans="1:7" x14ac:dyDescent="0.25">
      <c r="A828" s="1"/>
      <c r="D828" s="1"/>
      <c r="G828" t="b">
        <f>OR(DM_Control_Error_Param__3[[#This Row],[aperture shift (% actuator pitch)]]&gt;10,DM_Control_Error_Param__3[[#This Row],[log-amplitude variance ]]&gt;0.1)</f>
        <v>0</v>
      </c>
    </row>
    <row r="829" spans="1:7" x14ac:dyDescent="0.25">
      <c r="A829" s="1"/>
      <c r="D829" s="1"/>
      <c r="G829" t="b">
        <f>OR(DM_Control_Error_Param__3[[#This Row],[aperture shift (% actuator pitch)]]&gt;10,DM_Control_Error_Param__3[[#This Row],[log-amplitude variance ]]&gt;0.1)</f>
        <v>0</v>
      </c>
    </row>
    <row r="830" spans="1:7" x14ac:dyDescent="0.25">
      <c r="A830" s="1"/>
      <c r="D830" s="1"/>
      <c r="G830" t="b">
        <f>OR(DM_Control_Error_Param__3[[#This Row],[aperture shift (% actuator pitch)]]&gt;10,DM_Control_Error_Param__3[[#This Row],[log-amplitude variance ]]&gt;0.1)</f>
        <v>0</v>
      </c>
    </row>
    <row r="831" spans="1:7" x14ac:dyDescent="0.25">
      <c r="A831" s="1"/>
      <c r="D831" s="1"/>
      <c r="G831" t="b">
        <f>OR(DM_Control_Error_Param__3[[#This Row],[aperture shift (% actuator pitch)]]&gt;10,DM_Control_Error_Param__3[[#This Row],[log-amplitude variance ]]&gt;0.1)</f>
        <v>0</v>
      </c>
    </row>
    <row r="832" spans="1:7" x14ac:dyDescent="0.25">
      <c r="A832" s="1"/>
      <c r="D832" s="1"/>
      <c r="G832" t="b">
        <f>OR(DM_Control_Error_Param__3[[#This Row],[aperture shift (% actuator pitch)]]&gt;10,DM_Control_Error_Param__3[[#This Row],[log-amplitude variance ]]&gt;0.1)</f>
        <v>0</v>
      </c>
    </row>
    <row r="833" spans="1:7" x14ac:dyDescent="0.25">
      <c r="A833" s="1"/>
      <c r="D833" s="1"/>
      <c r="G833" t="b">
        <f>OR(DM_Control_Error_Param__3[[#This Row],[aperture shift (% actuator pitch)]]&gt;10,DM_Control_Error_Param__3[[#This Row],[log-amplitude variance ]]&gt;0.1)</f>
        <v>0</v>
      </c>
    </row>
    <row r="834" spans="1:7" x14ac:dyDescent="0.25">
      <c r="A834" s="1"/>
      <c r="D834" s="1"/>
      <c r="G834" t="b">
        <f>OR(DM_Control_Error_Param__3[[#This Row],[aperture shift (% actuator pitch)]]&gt;10,DM_Control_Error_Param__3[[#This Row],[log-amplitude variance ]]&gt;0.1)</f>
        <v>0</v>
      </c>
    </row>
    <row r="835" spans="1:7" x14ac:dyDescent="0.25">
      <c r="A835" s="1"/>
      <c r="D835" s="1"/>
      <c r="G835" t="b">
        <f>OR(DM_Control_Error_Param__3[[#This Row],[aperture shift (% actuator pitch)]]&gt;10,DM_Control_Error_Param__3[[#This Row],[log-amplitude variance ]]&gt;0.1)</f>
        <v>0</v>
      </c>
    </row>
    <row r="836" spans="1:7" x14ac:dyDescent="0.25">
      <c r="A836" s="1"/>
      <c r="D836" s="1"/>
      <c r="G836" t="b">
        <f>OR(DM_Control_Error_Param__3[[#This Row],[aperture shift (% actuator pitch)]]&gt;10,DM_Control_Error_Param__3[[#This Row],[log-amplitude variance ]]&gt;0.1)</f>
        <v>0</v>
      </c>
    </row>
    <row r="837" spans="1:7" x14ac:dyDescent="0.25">
      <c r="A837" s="1"/>
      <c r="D837" s="1"/>
      <c r="G837" t="b">
        <f>OR(DM_Control_Error_Param__3[[#This Row],[aperture shift (% actuator pitch)]]&gt;10,DM_Control_Error_Param__3[[#This Row],[log-amplitude variance ]]&gt;0.1)</f>
        <v>0</v>
      </c>
    </row>
    <row r="838" spans="1:7" x14ac:dyDescent="0.25">
      <c r="A838" s="1"/>
      <c r="D838" s="1"/>
      <c r="G838" t="b">
        <f>OR(DM_Control_Error_Param__3[[#This Row],[aperture shift (% actuator pitch)]]&gt;10,DM_Control_Error_Param__3[[#This Row],[log-amplitude variance ]]&gt;0.1)</f>
        <v>0</v>
      </c>
    </row>
    <row r="839" spans="1:7" x14ac:dyDescent="0.25">
      <c r="A839" s="1"/>
      <c r="D839" s="1"/>
      <c r="G839" t="b">
        <f>OR(DM_Control_Error_Param__3[[#This Row],[aperture shift (% actuator pitch)]]&gt;10,DM_Control_Error_Param__3[[#This Row],[log-amplitude variance ]]&gt;0.1)</f>
        <v>0</v>
      </c>
    </row>
    <row r="840" spans="1:7" x14ac:dyDescent="0.25">
      <c r="A840" s="1"/>
      <c r="D840" s="1"/>
      <c r="G840" t="b">
        <f>OR(DM_Control_Error_Param__3[[#This Row],[aperture shift (% actuator pitch)]]&gt;10,DM_Control_Error_Param__3[[#This Row],[log-amplitude variance ]]&gt;0.1)</f>
        <v>0</v>
      </c>
    </row>
    <row r="841" spans="1:7" x14ac:dyDescent="0.25">
      <c r="A841" s="1"/>
      <c r="D841" s="1"/>
      <c r="G841" t="b">
        <f>OR(DM_Control_Error_Param__3[[#This Row],[aperture shift (% actuator pitch)]]&gt;10,DM_Control_Error_Param__3[[#This Row],[log-amplitude variance ]]&gt;0.1)</f>
        <v>0</v>
      </c>
    </row>
    <row r="842" spans="1:7" x14ac:dyDescent="0.25">
      <c r="A842" s="1"/>
      <c r="D842" s="1"/>
      <c r="G842" t="b">
        <f>OR(DM_Control_Error_Param__3[[#This Row],[aperture shift (% actuator pitch)]]&gt;10,DM_Control_Error_Param__3[[#This Row],[log-amplitude variance ]]&gt;0.1)</f>
        <v>0</v>
      </c>
    </row>
    <row r="843" spans="1:7" x14ac:dyDescent="0.25">
      <c r="A843" s="1"/>
      <c r="D843" s="1"/>
      <c r="G843" t="b">
        <f>OR(DM_Control_Error_Param__3[[#This Row],[aperture shift (% actuator pitch)]]&gt;10,DM_Control_Error_Param__3[[#This Row],[log-amplitude variance ]]&gt;0.1)</f>
        <v>0</v>
      </c>
    </row>
    <row r="844" spans="1:7" x14ac:dyDescent="0.25">
      <c r="A844" s="1"/>
      <c r="D844" s="1"/>
      <c r="G844" t="b">
        <f>OR(DM_Control_Error_Param__3[[#This Row],[aperture shift (% actuator pitch)]]&gt;10,DM_Control_Error_Param__3[[#This Row],[log-amplitude variance ]]&gt;0.1)</f>
        <v>0</v>
      </c>
    </row>
    <row r="845" spans="1:7" x14ac:dyDescent="0.25">
      <c r="A845" s="1"/>
      <c r="D845" s="1"/>
      <c r="G845" t="b">
        <f>OR(DM_Control_Error_Param__3[[#This Row],[aperture shift (% actuator pitch)]]&gt;10,DM_Control_Error_Param__3[[#This Row],[log-amplitude variance ]]&gt;0.1)</f>
        <v>0</v>
      </c>
    </row>
    <row r="846" spans="1:7" x14ac:dyDescent="0.25">
      <c r="A846" s="1"/>
      <c r="D846" s="1"/>
      <c r="G846" t="b">
        <f>OR(DM_Control_Error_Param__3[[#This Row],[aperture shift (% actuator pitch)]]&gt;10,DM_Control_Error_Param__3[[#This Row],[log-amplitude variance ]]&gt;0.1)</f>
        <v>0</v>
      </c>
    </row>
    <row r="847" spans="1:7" x14ac:dyDescent="0.25">
      <c r="A847" s="1"/>
      <c r="D847" s="1"/>
      <c r="G847" t="b">
        <f>OR(DM_Control_Error_Param__3[[#This Row],[aperture shift (% actuator pitch)]]&gt;10,DM_Control_Error_Param__3[[#This Row],[log-amplitude variance ]]&gt;0.1)</f>
        <v>0</v>
      </c>
    </row>
    <row r="848" spans="1:7" x14ac:dyDescent="0.25">
      <c r="A848" s="1"/>
      <c r="D848" s="1"/>
      <c r="G848" t="b">
        <f>OR(DM_Control_Error_Param__3[[#This Row],[aperture shift (% actuator pitch)]]&gt;10,DM_Control_Error_Param__3[[#This Row],[log-amplitude variance ]]&gt;0.1)</f>
        <v>0</v>
      </c>
    </row>
    <row r="849" spans="1:7" x14ac:dyDescent="0.25">
      <c r="A849" s="1"/>
      <c r="D849" s="1"/>
      <c r="G849" t="b">
        <f>OR(DM_Control_Error_Param__3[[#This Row],[aperture shift (% actuator pitch)]]&gt;10,DM_Control_Error_Param__3[[#This Row],[log-amplitude variance ]]&gt;0.1)</f>
        <v>0</v>
      </c>
    </row>
    <row r="850" spans="1:7" x14ac:dyDescent="0.25">
      <c r="A850" s="1"/>
      <c r="D850" s="1"/>
      <c r="G850" t="b">
        <f>OR(DM_Control_Error_Param__3[[#This Row],[aperture shift (% actuator pitch)]]&gt;10,DM_Control_Error_Param__3[[#This Row],[log-amplitude variance ]]&gt;0.1)</f>
        <v>0</v>
      </c>
    </row>
    <row r="851" spans="1:7" x14ac:dyDescent="0.25">
      <c r="A851" s="1"/>
      <c r="D851" s="1"/>
      <c r="G851" t="b">
        <f>OR(DM_Control_Error_Param__3[[#This Row],[aperture shift (% actuator pitch)]]&gt;10,DM_Control_Error_Param__3[[#This Row],[log-amplitude variance ]]&gt;0.1)</f>
        <v>0</v>
      </c>
    </row>
    <row r="852" spans="1:7" x14ac:dyDescent="0.25">
      <c r="A852" s="1"/>
      <c r="D852" s="1"/>
      <c r="G852" t="b">
        <f>OR(DM_Control_Error_Param__3[[#This Row],[aperture shift (% actuator pitch)]]&gt;10,DM_Control_Error_Param__3[[#This Row],[log-amplitude variance ]]&gt;0.1)</f>
        <v>0</v>
      </c>
    </row>
    <row r="853" spans="1:7" x14ac:dyDescent="0.25">
      <c r="A853" s="1"/>
      <c r="D853" s="1"/>
      <c r="G853" t="b">
        <f>OR(DM_Control_Error_Param__3[[#This Row],[aperture shift (% actuator pitch)]]&gt;10,DM_Control_Error_Param__3[[#This Row],[log-amplitude variance ]]&gt;0.1)</f>
        <v>0</v>
      </c>
    </row>
    <row r="854" spans="1:7" x14ac:dyDescent="0.25">
      <c r="A854" s="1"/>
      <c r="D854" s="1"/>
      <c r="G854" t="b">
        <f>OR(DM_Control_Error_Param__3[[#This Row],[aperture shift (% actuator pitch)]]&gt;10,DM_Control_Error_Param__3[[#This Row],[log-amplitude variance ]]&gt;0.1)</f>
        <v>0</v>
      </c>
    </row>
    <row r="855" spans="1:7" x14ac:dyDescent="0.25">
      <c r="A855" s="1"/>
      <c r="D855" s="1"/>
      <c r="G855" t="b">
        <f>OR(DM_Control_Error_Param__3[[#This Row],[aperture shift (% actuator pitch)]]&gt;10,DM_Control_Error_Param__3[[#This Row],[log-amplitude variance ]]&gt;0.1)</f>
        <v>0</v>
      </c>
    </row>
    <row r="856" spans="1:7" x14ac:dyDescent="0.25">
      <c r="A856" s="1"/>
      <c r="D856" s="1"/>
      <c r="G856" t="b">
        <f>OR(DM_Control_Error_Param__3[[#This Row],[aperture shift (% actuator pitch)]]&gt;10,DM_Control_Error_Param__3[[#This Row],[log-amplitude variance ]]&gt;0.1)</f>
        <v>0</v>
      </c>
    </row>
    <row r="857" spans="1:7" x14ac:dyDescent="0.25">
      <c r="A857" s="1"/>
      <c r="D857" s="1"/>
      <c r="G857" t="b">
        <f>OR(DM_Control_Error_Param__3[[#This Row],[aperture shift (% actuator pitch)]]&gt;10,DM_Control_Error_Param__3[[#This Row],[log-amplitude variance ]]&gt;0.1)</f>
        <v>0</v>
      </c>
    </row>
    <row r="858" spans="1:7" x14ac:dyDescent="0.25">
      <c r="A858" s="1"/>
      <c r="D858" s="1"/>
      <c r="G858" t="b">
        <f>OR(DM_Control_Error_Param__3[[#This Row],[aperture shift (% actuator pitch)]]&gt;10,DM_Control_Error_Param__3[[#This Row],[log-amplitude variance ]]&gt;0.1)</f>
        <v>0</v>
      </c>
    </row>
    <row r="859" spans="1:7" x14ac:dyDescent="0.25">
      <c r="A859" s="1"/>
      <c r="D859" s="1"/>
      <c r="G859" t="b">
        <f>OR(DM_Control_Error_Param__3[[#This Row],[aperture shift (% actuator pitch)]]&gt;10,DM_Control_Error_Param__3[[#This Row],[log-amplitude variance ]]&gt;0.1)</f>
        <v>0</v>
      </c>
    </row>
    <row r="860" spans="1:7" x14ac:dyDescent="0.25">
      <c r="A860" s="1"/>
      <c r="D860" s="1"/>
      <c r="G860" t="b">
        <f>OR(DM_Control_Error_Param__3[[#This Row],[aperture shift (% actuator pitch)]]&gt;10,DM_Control_Error_Param__3[[#This Row],[log-amplitude variance ]]&gt;0.1)</f>
        <v>0</v>
      </c>
    </row>
    <row r="861" spans="1:7" x14ac:dyDescent="0.25">
      <c r="A861" s="1"/>
      <c r="D861" s="1"/>
      <c r="G861" t="b">
        <f>OR(DM_Control_Error_Param__3[[#This Row],[aperture shift (% actuator pitch)]]&gt;10,DM_Control_Error_Param__3[[#This Row],[log-amplitude variance ]]&gt;0.1)</f>
        <v>0</v>
      </c>
    </row>
    <row r="862" spans="1:7" x14ac:dyDescent="0.25">
      <c r="A862" s="1"/>
      <c r="D862" s="1"/>
      <c r="G862" t="b">
        <f>OR(DM_Control_Error_Param__3[[#This Row],[aperture shift (% actuator pitch)]]&gt;10,DM_Control_Error_Param__3[[#This Row],[log-amplitude variance ]]&gt;0.1)</f>
        <v>0</v>
      </c>
    </row>
    <row r="863" spans="1:7" x14ac:dyDescent="0.25">
      <c r="A863" s="1"/>
      <c r="D863" s="1"/>
      <c r="G863" t="b">
        <f>OR(DM_Control_Error_Param__3[[#This Row],[aperture shift (% actuator pitch)]]&gt;10,DM_Control_Error_Param__3[[#This Row],[log-amplitude variance ]]&gt;0.1)</f>
        <v>0</v>
      </c>
    </row>
    <row r="864" spans="1:7" x14ac:dyDescent="0.25">
      <c r="A864" s="1"/>
      <c r="D864" s="1"/>
      <c r="G864" t="b">
        <f>OR(DM_Control_Error_Param__3[[#This Row],[aperture shift (% actuator pitch)]]&gt;10,DM_Control_Error_Param__3[[#This Row],[log-amplitude variance ]]&gt;0.1)</f>
        <v>0</v>
      </c>
    </row>
    <row r="865" spans="1:7" x14ac:dyDescent="0.25">
      <c r="A865" s="1"/>
      <c r="D865" s="1"/>
      <c r="G865" t="b">
        <f>OR(DM_Control_Error_Param__3[[#This Row],[aperture shift (% actuator pitch)]]&gt;10,DM_Control_Error_Param__3[[#This Row],[log-amplitude variance ]]&gt;0.1)</f>
        <v>0</v>
      </c>
    </row>
    <row r="866" spans="1:7" x14ac:dyDescent="0.25">
      <c r="A866" s="1"/>
      <c r="D866" s="1"/>
      <c r="G866" t="b">
        <f>OR(DM_Control_Error_Param__3[[#This Row],[aperture shift (% actuator pitch)]]&gt;10,DM_Control_Error_Param__3[[#This Row],[log-amplitude variance ]]&gt;0.1)</f>
        <v>0</v>
      </c>
    </row>
    <row r="867" spans="1:7" x14ac:dyDescent="0.25">
      <c r="A867" s="1"/>
      <c r="D867" s="1"/>
      <c r="G867" t="b">
        <f>OR(DM_Control_Error_Param__3[[#This Row],[aperture shift (% actuator pitch)]]&gt;10,DM_Control_Error_Param__3[[#This Row],[log-amplitude variance ]]&gt;0.1)</f>
        <v>0</v>
      </c>
    </row>
    <row r="868" spans="1:7" x14ac:dyDescent="0.25">
      <c r="A868" s="1"/>
      <c r="D868" s="1"/>
      <c r="G868" t="b">
        <f>OR(DM_Control_Error_Param__3[[#This Row],[aperture shift (% actuator pitch)]]&gt;10,DM_Control_Error_Param__3[[#This Row],[log-amplitude variance ]]&gt;0.1)</f>
        <v>0</v>
      </c>
    </row>
    <row r="869" spans="1:7" x14ac:dyDescent="0.25">
      <c r="A869" s="1"/>
      <c r="D869" s="1"/>
      <c r="G869" t="b">
        <f>OR(DM_Control_Error_Param__3[[#This Row],[aperture shift (% actuator pitch)]]&gt;10,DM_Control_Error_Param__3[[#This Row],[log-amplitude variance ]]&gt;0.1)</f>
        <v>0</v>
      </c>
    </row>
    <row r="870" spans="1:7" x14ac:dyDescent="0.25">
      <c r="A870" s="1"/>
      <c r="D870" s="1"/>
      <c r="G870" t="b">
        <f>OR(DM_Control_Error_Param__3[[#This Row],[aperture shift (% actuator pitch)]]&gt;10,DM_Control_Error_Param__3[[#This Row],[log-amplitude variance ]]&gt;0.1)</f>
        <v>0</v>
      </c>
    </row>
    <row r="871" spans="1:7" x14ac:dyDescent="0.25">
      <c r="A871" s="1"/>
      <c r="D871" s="1"/>
      <c r="G871" t="b">
        <f>OR(DM_Control_Error_Param__3[[#This Row],[aperture shift (% actuator pitch)]]&gt;10,DM_Control_Error_Param__3[[#This Row],[log-amplitude variance ]]&gt;0.1)</f>
        <v>0</v>
      </c>
    </row>
    <row r="872" spans="1:7" x14ac:dyDescent="0.25">
      <c r="A872" s="1"/>
      <c r="D872" s="1"/>
      <c r="G872" t="b">
        <f>OR(DM_Control_Error_Param__3[[#This Row],[aperture shift (% actuator pitch)]]&gt;10,DM_Control_Error_Param__3[[#This Row],[log-amplitude variance ]]&gt;0.1)</f>
        <v>0</v>
      </c>
    </row>
    <row r="873" spans="1:7" x14ac:dyDescent="0.25">
      <c r="A873" s="1"/>
      <c r="D873" s="1"/>
      <c r="G873" t="b">
        <f>OR(DM_Control_Error_Param__3[[#This Row],[aperture shift (% actuator pitch)]]&gt;10,DM_Control_Error_Param__3[[#This Row],[log-amplitude variance ]]&gt;0.1)</f>
        <v>0</v>
      </c>
    </row>
    <row r="874" spans="1:7" x14ac:dyDescent="0.25">
      <c r="A874" s="1"/>
      <c r="D874" s="1"/>
      <c r="G874" t="b">
        <f>OR(DM_Control_Error_Param__3[[#This Row],[aperture shift (% actuator pitch)]]&gt;10,DM_Control_Error_Param__3[[#This Row],[log-amplitude variance ]]&gt;0.1)</f>
        <v>0</v>
      </c>
    </row>
    <row r="875" spans="1:7" x14ac:dyDescent="0.25">
      <c r="A875" s="1"/>
      <c r="D875" s="1"/>
      <c r="G875" t="b">
        <f>OR(DM_Control_Error_Param__3[[#This Row],[aperture shift (% actuator pitch)]]&gt;10,DM_Control_Error_Param__3[[#This Row],[log-amplitude variance ]]&gt;0.1)</f>
        <v>0</v>
      </c>
    </row>
    <row r="876" spans="1:7" x14ac:dyDescent="0.25">
      <c r="A876" s="1"/>
      <c r="D876" s="1"/>
      <c r="G876" t="b">
        <f>OR(DM_Control_Error_Param__3[[#This Row],[aperture shift (% actuator pitch)]]&gt;10,DM_Control_Error_Param__3[[#This Row],[log-amplitude variance ]]&gt;0.1)</f>
        <v>0</v>
      </c>
    </row>
    <row r="877" spans="1:7" x14ac:dyDescent="0.25">
      <c r="A877" s="1"/>
      <c r="D877" s="1"/>
      <c r="G877" t="b">
        <f>OR(DM_Control_Error_Param__3[[#This Row],[aperture shift (% actuator pitch)]]&gt;10,DM_Control_Error_Param__3[[#This Row],[log-amplitude variance ]]&gt;0.1)</f>
        <v>0</v>
      </c>
    </row>
    <row r="878" spans="1:7" x14ac:dyDescent="0.25">
      <c r="A878" s="1"/>
      <c r="D878" s="1"/>
      <c r="G878" t="b">
        <f>OR(DM_Control_Error_Param__3[[#This Row],[aperture shift (% actuator pitch)]]&gt;10,DM_Control_Error_Param__3[[#This Row],[log-amplitude variance ]]&gt;0.1)</f>
        <v>0</v>
      </c>
    </row>
    <row r="879" spans="1:7" x14ac:dyDescent="0.25">
      <c r="A879" s="1"/>
      <c r="D879" s="1"/>
      <c r="G879" t="b">
        <f>OR(DM_Control_Error_Param__3[[#This Row],[aperture shift (% actuator pitch)]]&gt;10,DM_Control_Error_Param__3[[#This Row],[log-amplitude variance ]]&gt;0.1)</f>
        <v>0</v>
      </c>
    </row>
    <row r="880" spans="1:7" x14ac:dyDescent="0.25">
      <c r="A880" s="1"/>
      <c r="D880" s="1"/>
      <c r="G880" t="b">
        <f>OR(DM_Control_Error_Param__3[[#This Row],[aperture shift (% actuator pitch)]]&gt;10,DM_Control_Error_Param__3[[#This Row],[log-amplitude variance ]]&gt;0.1)</f>
        <v>0</v>
      </c>
    </row>
    <row r="881" spans="1:7" x14ac:dyDescent="0.25">
      <c r="A881" s="1"/>
      <c r="D881" s="1"/>
      <c r="G881" t="b">
        <f>OR(DM_Control_Error_Param__3[[#This Row],[aperture shift (% actuator pitch)]]&gt;10,DM_Control_Error_Param__3[[#This Row],[log-amplitude variance ]]&gt;0.1)</f>
        <v>0</v>
      </c>
    </row>
    <row r="882" spans="1:7" x14ac:dyDescent="0.25">
      <c r="A882" s="1"/>
      <c r="D882" s="1"/>
      <c r="G882" t="b">
        <f>OR(DM_Control_Error_Param__3[[#This Row],[aperture shift (% actuator pitch)]]&gt;10,DM_Control_Error_Param__3[[#This Row],[log-amplitude variance ]]&gt;0.1)</f>
        <v>0</v>
      </c>
    </row>
    <row r="883" spans="1:7" x14ac:dyDescent="0.25">
      <c r="A883" s="1"/>
      <c r="D883" s="1"/>
      <c r="G883" t="b">
        <f>OR(DM_Control_Error_Param__3[[#This Row],[aperture shift (% actuator pitch)]]&gt;10,DM_Control_Error_Param__3[[#This Row],[log-amplitude variance ]]&gt;0.1)</f>
        <v>0</v>
      </c>
    </row>
    <row r="884" spans="1:7" x14ac:dyDescent="0.25">
      <c r="A884" s="1"/>
      <c r="D884" s="1"/>
      <c r="G884" t="b">
        <f>OR(DM_Control_Error_Param__3[[#This Row],[aperture shift (% actuator pitch)]]&gt;10,DM_Control_Error_Param__3[[#This Row],[log-amplitude variance ]]&gt;0.1)</f>
        <v>0</v>
      </c>
    </row>
    <row r="885" spans="1:7" x14ac:dyDescent="0.25">
      <c r="A885" s="1"/>
      <c r="D885" s="1"/>
      <c r="G885" t="b">
        <f>OR(DM_Control_Error_Param__3[[#This Row],[aperture shift (% actuator pitch)]]&gt;10,DM_Control_Error_Param__3[[#This Row],[log-amplitude variance ]]&gt;0.1)</f>
        <v>0</v>
      </c>
    </row>
    <row r="886" spans="1:7" x14ac:dyDescent="0.25">
      <c r="A886" s="1"/>
      <c r="D886" s="1"/>
      <c r="G886" t="b">
        <f>OR(DM_Control_Error_Param__3[[#This Row],[aperture shift (% actuator pitch)]]&gt;10,DM_Control_Error_Param__3[[#This Row],[log-amplitude variance ]]&gt;0.1)</f>
        <v>0</v>
      </c>
    </row>
    <row r="887" spans="1:7" x14ac:dyDescent="0.25">
      <c r="A887" s="1"/>
      <c r="D887" s="1"/>
      <c r="G887" t="b">
        <f>OR(DM_Control_Error_Param__3[[#This Row],[aperture shift (% actuator pitch)]]&gt;10,DM_Control_Error_Param__3[[#This Row],[log-amplitude variance ]]&gt;0.1)</f>
        <v>0</v>
      </c>
    </row>
    <row r="888" spans="1:7" x14ac:dyDescent="0.25">
      <c r="A888" s="1"/>
      <c r="D888" s="1"/>
      <c r="G888" t="b">
        <f>OR(DM_Control_Error_Param__3[[#This Row],[aperture shift (% actuator pitch)]]&gt;10,DM_Control_Error_Param__3[[#This Row],[log-amplitude variance ]]&gt;0.1)</f>
        <v>0</v>
      </c>
    </row>
    <row r="889" spans="1:7" x14ac:dyDescent="0.25">
      <c r="A889" s="1"/>
      <c r="D889" s="1"/>
      <c r="G889" t="b">
        <f>OR(DM_Control_Error_Param__3[[#This Row],[aperture shift (% actuator pitch)]]&gt;10,DM_Control_Error_Param__3[[#This Row],[log-amplitude variance ]]&gt;0.1)</f>
        <v>0</v>
      </c>
    </row>
    <row r="890" spans="1:7" x14ac:dyDescent="0.25">
      <c r="A890" s="1"/>
      <c r="D890" s="1"/>
      <c r="G890" t="b">
        <f>OR(DM_Control_Error_Param__3[[#This Row],[aperture shift (% actuator pitch)]]&gt;10,DM_Control_Error_Param__3[[#This Row],[log-amplitude variance ]]&gt;0.1)</f>
        <v>0</v>
      </c>
    </row>
    <row r="891" spans="1:7" x14ac:dyDescent="0.25">
      <c r="A891" s="1"/>
      <c r="D891" s="1"/>
      <c r="G891" t="b">
        <f>OR(DM_Control_Error_Param__3[[#This Row],[aperture shift (% actuator pitch)]]&gt;10,DM_Control_Error_Param__3[[#This Row],[log-amplitude variance ]]&gt;0.1)</f>
        <v>0</v>
      </c>
    </row>
    <row r="892" spans="1:7" x14ac:dyDescent="0.25">
      <c r="A892" s="1"/>
      <c r="D892" s="1"/>
      <c r="G892" t="b">
        <f>OR(DM_Control_Error_Param__3[[#This Row],[aperture shift (% actuator pitch)]]&gt;10,DM_Control_Error_Param__3[[#This Row],[log-amplitude variance ]]&gt;0.1)</f>
        <v>0</v>
      </c>
    </row>
    <row r="893" spans="1:7" x14ac:dyDescent="0.25">
      <c r="A893" s="1"/>
      <c r="D893" s="1"/>
      <c r="G893" t="b">
        <f>OR(DM_Control_Error_Param__3[[#This Row],[aperture shift (% actuator pitch)]]&gt;10,DM_Control_Error_Param__3[[#This Row],[log-amplitude variance ]]&gt;0.1)</f>
        <v>0</v>
      </c>
    </row>
    <row r="894" spans="1:7" x14ac:dyDescent="0.25">
      <c r="A894" s="1"/>
      <c r="D894" s="1"/>
      <c r="G894" t="b">
        <f>OR(DM_Control_Error_Param__3[[#This Row],[aperture shift (% actuator pitch)]]&gt;10,DM_Control_Error_Param__3[[#This Row],[log-amplitude variance ]]&gt;0.1)</f>
        <v>0</v>
      </c>
    </row>
    <row r="895" spans="1:7" x14ac:dyDescent="0.25">
      <c r="A895" s="1"/>
      <c r="D895" s="1"/>
      <c r="G895" t="b">
        <f>OR(DM_Control_Error_Param__3[[#This Row],[aperture shift (% actuator pitch)]]&gt;10,DM_Control_Error_Param__3[[#This Row],[log-amplitude variance ]]&gt;0.1)</f>
        <v>0</v>
      </c>
    </row>
    <row r="896" spans="1:7" x14ac:dyDescent="0.25">
      <c r="A896" s="1"/>
      <c r="D896" s="1"/>
      <c r="G896" t="b">
        <f>OR(DM_Control_Error_Param__3[[#This Row],[aperture shift (% actuator pitch)]]&gt;10,DM_Control_Error_Param__3[[#This Row],[log-amplitude variance ]]&gt;0.1)</f>
        <v>0</v>
      </c>
    </row>
    <row r="897" spans="1:7" x14ac:dyDescent="0.25">
      <c r="A897" s="1"/>
      <c r="D897" s="1"/>
      <c r="G897" t="b">
        <f>OR(DM_Control_Error_Param__3[[#This Row],[aperture shift (% actuator pitch)]]&gt;10,DM_Control_Error_Param__3[[#This Row],[log-amplitude variance ]]&gt;0.1)</f>
        <v>0</v>
      </c>
    </row>
    <row r="898" spans="1:7" x14ac:dyDescent="0.25">
      <c r="A898" s="1"/>
      <c r="D898" s="1"/>
      <c r="G898" t="b">
        <f>OR(DM_Control_Error_Param__3[[#This Row],[aperture shift (% actuator pitch)]]&gt;10,DM_Control_Error_Param__3[[#This Row],[log-amplitude variance ]]&gt;0.1)</f>
        <v>0</v>
      </c>
    </row>
    <row r="899" spans="1:7" x14ac:dyDescent="0.25">
      <c r="A899" s="1"/>
      <c r="D899" s="1"/>
      <c r="G899" t="b">
        <f>OR(DM_Control_Error_Param__3[[#This Row],[aperture shift (% actuator pitch)]]&gt;10,DM_Control_Error_Param__3[[#This Row],[log-amplitude variance ]]&gt;0.1)</f>
        <v>0</v>
      </c>
    </row>
    <row r="900" spans="1:7" x14ac:dyDescent="0.25">
      <c r="A900" s="1"/>
      <c r="D900" s="1"/>
      <c r="G900" t="b">
        <f>OR(DM_Control_Error_Param__3[[#This Row],[aperture shift (% actuator pitch)]]&gt;10,DM_Control_Error_Param__3[[#This Row],[log-amplitude variance ]]&gt;0.1)</f>
        <v>0</v>
      </c>
    </row>
    <row r="901" spans="1:7" x14ac:dyDescent="0.25">
      <c r="A901" s="1"/>
      <c r="D901" s="1"/>
      <c r="G901" t="b">
        <f>OR(DM_Control_Error_Param__3[[#This Row],[aperture shift (% actuator pitch)]]&gt;10,DM_Control_Error_Param__3[[#This Row],[log-amplitude variance ]]&gt;0.1)</f>
        <v>0</v>
      </c>
    </row>
    <row r="902" spans="1:7" x14ac:dyDescent="0.25">
      <c r="A902" s="1"/>
      <c r="D902" s="1"/>
      <c r="G902" t="b">
        <f>OR(DM_Control_Error_Param__3[[#This Row],[aperture shift (% actuator pitch)]]&gt;10,DM_Control_Error_Param__3[[#This Row],[log-amplitude variance ]]&gt;0.1)</f>
        <v>0</v>
      </c>
    </row>
    <row r="903" spans="1:7" x14ac:dyDescent="0.25">
      <c r="A903" s="1"/>
      <c r="D903" s="1"/>
      <c r="G903" t="b">
        <f>OR(DM_Control_Error_Param__3[[#This Row],[aperture shift (% actuator pitch)]]&gt;10,DM_Control_Error_Param__3[[#This Row],[log-amplitude variance ]]&gt;0.1)</f>
        <v>0</v>
      </c>
    </row>
    <row r="904" spans="1:7" x14ac:dyDescent="0.25">
      <c r="A904" s="1"/>
      <c r="D904" s="1"/>
      <c r="G904" t="b">
        <f>OR(DM_Control_Error_Param__3[[#This Row],[aperture shift (% actuator pitch)]]&gt;10,DM_Control_Error_Param__3[[#This Row],[log-amplitude variance ]]&gt;0.1)</f>
        <v>0</v>
      </c>
    </row>
    <row r="905" spans="1:7" x14ac:dyDescent="0.25">
      <c r="A905" s="1"/>
      <c r="D905" s="1"/>
      <c r="G905" t="b">
        <f>OR(DM_Control_Error_Param__3[[#This Row],[aperture shift (% actuator pitch)]]&gt;10,DM_Control_Error_Param__3[[#This Row],[log-amplitude variance ]]&gt;0.1)</f>
        <v>0</v>
      </c>
    </row>
    <row r="906" spans="1:7" x14ac:dyDescent="0.25">
      <c r="A906" s="1"/>
      <c r="D906" s="1"/>
      <c r="G906" t="b">
        <f>OR(DM_Control_Error_Param__3[[#This Row],[aperture shift (% actuator pitch)]]&gt;10,DM_Control_Error_Param__3[[#This Row],[log-amplitude variance ]]&gt;0.1)</f>
        <v>0</v>
      </c>
    </row>
    <row r="907" spans="1:7" x14ac:dyDescent="0.25">
      <c r="A907" s="1"/>
      <c r="D907" s="1"/>
      <c r="G907" t="b">
        <f>OR(DM_Control_Error_Param__3[[#This Row],[aperture shift (% actuator pitch)]]&gt;10,DM_Control_Error_Param__3[[#This Row],[log-amplitude variance ]]&gt;0.1)</f>
        <v>0</v>
      </c>
    </row>
    <row r="908" spans="1:7" x14ac:dyDescent="0.25">
      <c r="A908" s="1"/>
      <c r="D908" s="1"/>
      <c r="G908" t="b">
        <f>OR(DM_Control_Error_Param__3[[#This Row],[aperture shift (% actuator pitch)]]&gt;10,DM_Control_Error_Param__3[[#This Row],[log-amplitude variance ]]&gt;0.1)</f>
        <v>0</v>
      </c>
    </row>
    <row r="909" spans="1:7" x14ac:dyDescent="0.25">
      <c r="A909" s="1"/>
      <c r="D909" s="1"/>
      <c r="G909" t="b">
        <f>OR(DM_Control_Error_Param__3[[#This Row],[aperture shift (% actuator pitch)]]&gt;10,DM_Control_Error_Param__3[[#This Row],[log-amplitude variance ]]&gt;0.1)</f>
        <v>0</v>
      </c>
    </row>
    <row r="910" spans="1:7" x14ac:dyDescent="0.25">
      <c r="A910" s="1"/>
      <c r="D910" s="1"/>
      <c r="G910" t="b">
        <f>OR(DM_Control_Error_Param__3[[#This Row],[aperture shift (% actuator pitch)]]&gt;10,DM_Control_Error_Param__3[[#This Row],[log-amplitude variance ]]&gt;0.1)</f>
        <v>0</v>
      </c>
    </row>
    <row r="911" spans="1:7" x14ac:dyDescent="0.25">
      <c r="A911" s="1"/>
      <c r="D911" s="1"/>
      <c r="G911" t="b">
        <f>OR(DM_Control_Error_Param__3[[#This Row],[aperture shift (% actuator pitch)]]&gt;10,DM_Control_Error_Param__3[[#This Row],[log-amplitude variance ]]&gt;0.1)</f>
        <v>0</v>
      </c>
    </row>
    <row r="912" spans="1:7" x14ac:dyDescent="0.25">
      <c r="A912" s="1"/>
      <c r="D912" s="1"/>
      <c r="G912" t="b">
        <f>OR(DM_Control_Error_Param__3[[#This Row],[aperture shift (% actuator pitch)]]&gt;10,DM_Control_Error_Param__3[[#This Row],[log-amplitude variance ]]&gt;0.1)</f>
        <v>0</v>
      </c>
    </row>
    <row r="913" spans="1:7" x14ac:dyDescent="0.25">
      <c r="A913" s="1"/>
      <c r="D913" s="1"/>
      <c r="G913" t="b">
        <f>OR(DM_Control_Error_Param__3[[#This Row],[aperture shift (% actuator pitch)]]&gt;10,DM_Control_Error_Param__3[[#This Row],[log-amplitude variance ]]&gt;0.1)</f>
        <v>0</v>
      </c>
    </row>
    <row r="914" spans="1:7" x14ac:dyDescent="0.25">
      <c r="A914" s="1"/>
      <c r="D914" s="1"/>
      <c r="G914" t="b">
        <f>OR(DM_Control_Error_Param__3[[#This Row],[aperture shift (% actuator pitch)]]&gt;10,DM_Control_Error_Param__3[[#This Row],[log-amplitude variance ]]&gt;0.1)</f>
        <v>0</v>
      </c>
    </row>
    <row r="915" spans="1:7" x14ac:dyDescent="0.25">
      <c r="A915" s="1"/>
      <c r="D915" s="1"/>
      <c r="G915" t="b">
        <f>OR(DM_Control_Error_Param__3[[#This Row],[aperture shift (% actuator pitch)]]&gt;10,DM_Control_Error_Param__3[[#This Row],[log-amplitude variance ]]&gt;0.1)</f>
        <v>0</v>
      </c>
    </row>
    <row r="916" spans="1:7" x14ac:dyDescent="0.25">
      <c r="A916" s="1"/>
      <c r="D916" s="1"/>
      <c r="G916" t="b">
        <f>OR(DM_Control_Error_Param__3[[#This Row],[aperture shift (% actuator pitch)]]&gt;10,DM_Control_Error_Param__3[[#This Row],[log-amplitude variance ]]&gt;0.1)</f>
        <v>0</v>
      </c>
    </row>
    <row r="917" spans="1:7" x14ac:dyDescent="0.25">
      <c r="A917" s="1"/>
      <c r="D917" s="1"/>
      <c r="G917" t="b">
        <f>OR(DM_Control_Error_Param__3[[#This Row],[aperture shift (% actuator pitch)]]&gt;10,DM_Control_Error_Param__3[[#This Row],[log-amplitude variance ]]&gt;0.1)</f>
        <v>0</v>
      </c>
    </row>
    <row r="918" spans="1:7" x14ac:dyDescent="0.25">
      <c r="A918" s="1"/>
      <c r="D918" s="1"/>
      <c r="G918" t="b">
        <f>OR(DM_Control_Error_Param__3[[#This Row],[aperture shift (% actuator pitch)]]&gt;10,DM_Control_Error_Param__3[[#This Row],[log-amplitude variance ]]&gt;0.1)</f>
        <v>0</v>
      </c>
    </row>
    <row r="919" spans="1:7" x14ac:dyDescent="0.25">
      <c r="A919" s="1"/>
      <c r="D919" s="1"/>
      <c r="G919" t="b">
        <f>OR(DM_Control_Error_Param__3[[#This Row],[aperture shift (% actuator pitch)]]&gt;10,DM_Control_Error_Param__3[[#This Row],[log-amplitude variance ]]&gt;0.1)</f>
        <v>0</v>
      </c>
    </row>
    <row r="920" spans="1:7" x14ac:dyDescent="0.25">
      <c r="A920" s="1"/>
      <c r="D920" s="1"/>
      <c r="G920" t="b">
        <f>OR(DM_Control_Error_Param__3[[#This Row],[aperture shift (% actuator pitch)]]&gt;10,DM_Control_Error_Param__3[[#This Row],[log-amplitude variance ]]&gt;0.1)</f>
        <v>0</v>
      </c>
    </row>
    <row r="921" spans="1:7" x14ac:dyDescent="0.25">
      <c r="A921" s="1"/>
      <c r="D921" s="1"/>
      <c r="G921" t="b">
        <f>OR(DM_Control_Error_Param__3[[#This Row],[aperture shift (% actuator pitch)]]&gt;10,DM_Control_Error_Param__3[[#This Row],[log-amplitude variance ]]&gt;0.1)</f>
        <v>0</v>
      </c>
    </row>
    <row r="922" spans="1:7" x14ac:dyDescent="0.25">
      <c r="A922" s="1"/>
      <c r="D922" s="1"/>
      <c r="G922" t="b">
        <f>OR(DM_Control_Error_Param__3[[#This Row],[aperture shift (% actuator pitch)]]&gt;10,DM_Control_Error_Param__3[[#This Row],[log-amplitude variance ]]&gt;0.1)</f>
        <v>0</v>
      </c>
    </row>
    <row r="923" spans="1:7" x14ac:dyDescent="0.25">
      <c r="A923" s="1"/>
      <c r="D923" s="1"/>
      <c r="G923" t="b">
        <f>OR(DM_Control_Error_Param__3[[#This Row],[aperture shift (% actuator pitch)]]&gt;10,DM_Control_Error_Param__3[[#This Row],[log-amplitude variance ]]&gt;0.1)</f>
        <v>0</v>
      </c>
    </row>
    <row r="924" spans="1:7" x14ac:dyDescent="0.25">
      <c r="A924" s="1"/>
      <c r="D924" s="1"/>
      <c r="G924" t="b">
        <f>OR(DM_Control_Error_Param__3[[#This Row],[aperture shift (% actuator pitch)]]&gt;10,DM_Control_Error_Param__3[[#This Row],[log-amplitude variance ]]&gt;0.1)</f>
        <v>0</v>
      </c>
    </row>
    <row r="925" spans="1:7" x14ac:dyDescent="0.25">
      <c r="A925" s="1"/>
      <c r="D925" s="1"/>
      <c r="G925" t="b">
        <f>OR(DM_Control_Error_Param__3[[#This Row],[aperture shift (% actuator pitch)]]&gt;10,DM_Control_Error_Param__3[[#This Row],[log-amplitude variance ]]&gt;0.1)</f>
        <v>0</v>
      </c>
    </row>
    <row r="926" spans="1:7" x14ac:dyDescent="0.25">
      <c r="A926" s="1"/>
      <c r="D926" s="1"/>
      <c r="G926" t="b">
        <f>OR(DM_Control_Error_Param__3[[#This Row],[aperture shift (% actuator pitch)]]&gt;10,DM_Control_Error_Param__3[[#This Row],[log-amplitude variance ]]&gt;0.1)</f>
        <v>0</v>
      </c>
    </row>
    <row r="927" spans="1:7" x14ac:dyDescent="0.25">
      <c r="A927" s="1"/>
      <c r="D927" s="1"/>
      <c r="G927" t="b">
        <f>OR(DM_Control_Error_Param__3[[#This Row],[aperture shift (% actuator pitch)]]&gt;10,DM_Control_Error_Param__3[[#This Row],[log-amplitude variance ]]&gt;0.1)</f>
        <v>0</v>
      </c>
    </row>
    <row r="928" spans="1:7" x14ac:dyDescent="0.25">
      <c r="A928" s="1"/>
      <c r="D928" s="1"/>
      <c r="G928" t="b">
        <f>OR(DM_Control_Error_Param__3[[#This Row],[aperture shift (% actuator pitch)]]&gt;10,DM_Control_Error_Param__3[[#This Row],[log-amplitude variance ]]&gt;0.1)</f>
        <v>0</v>
      </c>
    </row>
    <row r="929" spans="1:7" x14ac:dyDescent="0.25">
      <c r="A929" s="1"/>
      <c r="D929" s="1"/>
      <c r="G929" t="b">
        <f>OR(DM_Control_Error_Param__3[[#This Row],[aperture shift (% actuator pitch)]]&gt;10,DM_Control_Error_Param__3[[#This Row],[log-amplitude variance ]]&gt;0.1)</f>
        <v>0</v>
      </c>
    </row>
    <row r="930" spans="1:7" x14ac:dyDescent="0.25">
      <c r="A930" s="1"/>
      <c r="D930" s="1"/>
      <c r="G930" t="b">
        <f>OR(DM_Control_Error_Param__3[[#This Row],[aperture shift (% actuator pitch)]]&gt;10,DM_Control_Error_Param__3[[#This Row],[log-amplitude variance ]]&gt;0.1)</f>
        <v>0</v>
      </c>
    </row>
    <row r="931" spans="1:7" x14ac:dyDescent="0.25">
      <c r="A931" s="1"/>
      <c r="D931" s="1"/>
      <c r="G931" t="b">
        <f>OR(DM_Control_Error_Param__3[[#This Row],[aperture shift (% actuator pitch)]]&gt;10,DM_Control_Error_Param__3[[#This Row],[log-amplitude variance ]]&gt;0.1)</f>
        <v>0</v>
      </c>
    </row>
    <row r="932" spans="1:7" x14ac:dyDescent="0.25">
      <c r="A932" s="1"/>
      <c r="D932" s="1"/>
      <c r="G932" t="b">
        <f>OR(DM_Control_Error_Param__3[[#This Row],[aperture shift (% actuator pitch)]]&gt;10,DM_Control_Error_Param__3[[#This Row],[log-amplitude variance ]]&gt;0.1)</f>
        <v>0</v>
      </c>
    </row>
    <row r="933" spans="1:7" x14ac:dyDescent="0.25">
      <c r="A933" s="1"/>
      <c r="D933" s="1"/>
      <c r="G933" t="b">
        <f>OR(DM_Control_Error_Param__3[[#This Row],[aperture shift (% actuator pitch)]]&gt;10,DM_Control_Error_Param__3[[#This Row],[log-amplitude variance ]]&gt;0.1)</f>
        <v>0</v>
      </c>
    </row>
    <row r="934" spans="1:7" x14ac:dyDescent="0.25">
      <c r="A934" s="1"/>
      <c r="D934" s="1"/>
      <c r="G934" t="b">
        <f>OR(DM_Control_Error_Param__3[[#This Row],[aperture shift (% actuator pitch)]]&gt;10,DM_Control_Error_Param__3[[#This Row],[log-amplitude variance ]]&gt;0.1)</f>
        <v>0</v>
      </c>
    </row>
    <row r="935" spans="1:7" x14ac:dyDescent="0.25">
      <c r="A935" s="1"/>
      <c r="D935" s="1"/>
      <c r="G935" t="b">
        <f>OR(DM_Control_Error_Param__3[[#This Row],[aperture shift (% actuator pitch)]]&gt;10,DM_Control_Error_Param__3[[#This Row],[log-amplitude variance ]]&gt;0.1)</f>
        <v>0</v>
      </c>
    </row>
    <row r="936" spans="1:7" x14ac:dyDescent="0.25">
      <c r="A936" s="1"/>
      <c r="D936" s="1"/>
      <c r="G936" t="b">
        <f>OR(DM_Control_Error_Param__3[[#This Row],[aperture shift (% actuator pitch)]]&gt;10,DM_Control_Error_Param__3[[#This Row],[log-amplitude variance ]]&gt;0.1)</f>
        <v>0</v>
      </c>
    </row>
    <row r="937" spans="1:7" x14ac:dyDescent="0.25">
      <c r="A937" s="1"/>
      <c r="D937" s="1"/>
      <c r="G937" t="b">
        <f>OR(DM_Control_Error_Param__3[[#This Row],[aperture shift (% actuator pitch)]]&gt;10,DM_Control_Error_Param__3[[#This Row],[log-amplitude variance ]]&gt;0.1)</f>
        <v>0</v>
      </c>
    </row>
    <row r="938" spans="1:7" x14ac:dyDescent="0.25">
      <c r="A938" s="1"/>
      <c r="D938" s="1"/>
      <c r="G938" t="b">
        <f>OR(DM_Control_Error_Param__3[[#This Row],[aperture shift (% actuator pitch)]]&gt;10,DM_Control_Error_Param__3[[#This Row],[log-amplitude variance ]]&gt;0.1)</f>
        <v>0</v>
      </c>
    </row>
    <row r="939" spans="1:7" x14ac:dyDescent="0.25">
      <c r="A939" s="1"/>
      <c r="D939" s="1"/>
      <c r="G939" t="b">
        <f>OR(DM_Control_Error_Param__3[[#This Row],[aperture shift (% actuator pitch)]]&gt;10,DM_Control_Error_Param__3[[#This Row],[log-amplitude variance ]]&gt;0.1)</f>
        <v>0</v>
      </c>
    </row>
    <row r="940" spans="1:7" x14ac:dyDescent="0.25">
      <c r="A940" s="1"/>
      <c r="D940" s="1"/>
      <c r="G940" t="b">
        <f>OR(DM_Control_Error_Param__3[[#This Row],[aperture shift (% actuator pitch)]]&gt;10,DM_Control_Error_Param__3[[#This Row],[log-amplitude variance ]]&gt;0.1)</f>
        <v>0</v>
      </c>
    </row>
    <row r="941" spans="1:7" x14ac:dyDescent="0.25">
      <c r="A941" s="1"/>
      <c r="D941" s="1"/>
      <c r="G941" t="b">
        <f>OR(DM_Control_Error_Param__3[[#This Row],[aperture shift (% actuator pitch)]]&gt;10,DM_Control_Error_Param__3[[#This Row],[log-amplitude variance ]]&gt;0.1)</f>
        <v>0</v>
      </c>
    </row>
    <row r="942" spans="1:7" x14ac:dyDescent="0.25">
      <c r="A942" s="1"/>
      <c r="D942" s="1"/>
      <c r="G942" t="b">
        <f>OR(DM_Control_Error_Param__3[[#This Row],[aperture shift (% actuator pitch)]]&gt;10,DM_Control_Error_Param__3[[#This Row],[log-amplitude variance ]]&gt;0.1)</f>
        <v>0</v>
      </c>
    </row>
    <row r="943" spans="1:7" x14ac:dyDescent="0.25">
      <c r="A943" s="1"/>
      <c r="D943" s="1"/>
      <c r="G943" t="b">
        <f>OR(DM_Control_Error_Param__3[[#This Row],[aperture shift (% actuator pitch)]]&gt;10,DM_Control_Error_Param__3[[#This Row],[log-amplitude variance ]]&gt;0.1)</f>
        <v>0</v>
      </c>
    </row>
    <row r="944" spans="1:7" x14ac:dyDescent="0.25">
      <c r="A944" s="1"/>
      <c r="D944" s="1"/>
      <c r="G944" t="b">
        <f>OR(DM_Control_Error_Param__3[[#This Row],[aperture shift (% actuator pitch)]]&gt;10,DM_Control_Error_Param__3[[#This Row],[log-amplitude variance ]]&gt;0.1)</f>
        <v>0</v>
      </c>
    </row>
    <row r="945" spans="1:7" x14ac:dyDescent="0.25">
      <c r="A945" s="1"/>
      <c r="D945" s="1"/>
      <c r="G945" t="b">
        <f>OR(DM_Control_Error_Param__3[[#This Row],[aperture shift (% actuator pitch)]]&gt;10,DM_Control_Error_Param__3[[#This Row],[log-amplitude variance ]]&gt;0.1)</f>
        <v>0</v>
      </c>
    </row>
    <row r="946" spans="1:7" x14ac:dyDescent="0.25">
      <c r="A946" s="1"/>
      <c r="D946" s="1"/>
      <c r="G946" t="b">
        <f>OR(DM_Control_Error_Param__3[[#This Row],[aperture shift (% actuator pitch)]]&gt;10,DM_Control_Error_Param__3[[#This Row],[log-amplitude variance ]]&gt;0.1)</f>
        <v>0</v>
      </c>
    </row>
    <row r="947" spans="1:7" x14ac:dyDescent="0.25">
      <c r="A947" s="1"/>
      <c r="D947" s="1"/>
      <c r="G947" t="b">
        <f>OR(DM_Control_Error_Param__3[[#This Row],[aperture shift (% actuator pitch)]]&gt;10,DM_Control_Error_Param__3[[#This Row],[log-amplitude variance ]]&gt;0.1)</f>
        <v>0</v>
      </c>
    </row>
    <row r="948" spans="1:7" x14ac:dyDescent="0.25">
      <c r="A948" s="1"/>
      <c r="D948" s="1"/>
      <c r="G948" t="b">
        <f>OR(DM_Control_Error_Param__3[[#This Row],[aperture shift (% actuator pitch)]]&gt;10,DM_Control_Error_Param__3[[#This Row],[log-amplitude variance ]]&gt;0.1)</f>
        <v>0</v>
      </c>
    </row>
    <row r="949" spans="1:7" x14ac:dyDescent="0.25">
      <c r="A949" s="1"/>
      <c r="D949" s="1"/>
      <c r="G949" t="b">
        <f>OR(DM_Control_Error_Param__3[[#This Row],[aperture shift (% actuator pitch)]]&gt;10,DM_Control_Error_Param__3[[#This Row],[log-amplitude variance ]]&gt;0.1)</f>
        <v>0</v>
      </c>
    </row>
    <row r="950" spans="1:7" x14ac:dyDescent="0.25">
      <c r="A950" s="1"/>
      <c r="D950" s="1"/>
      <c r="G950" t="b">
        <f>OR(DM_Control_Error_Param__3[[#This Row],[aperture shift (% actuator pitch)]]&gt;10,DM_Control_Error_Param__3[[#This Row],[log-amplitude variance ]]&gt;0.1)</f>
        <v>0</v>
      </c>
    </row>
    <row r="951" spans="1:7" x14ac:dyDescent="0.25">
      <c r="A951" s="1"/>
      <c r="D951" s="1"/>
      <c r="G951" t="b">
        <f>OR(DM_Control_Error_Param__3[[#This Row],[aperture shift (% actuator pitch)]]&gt;10,DM_Control_Error_Param__3[[#This Row],[log-amplitude variance ]]&gt;0.1)</f>
        <v>0</v>
      </c>
    </row>
    <row r="952" spans="1:7" x14ac:dyDescent="0.25">
      <c r="A952" s="1"/>
      <c r="D952" s="1"/>
      <c r="G952" t="b">
        <f>OR(DM_Control_Error_Param__3[[#This Row],[aperture shift (% actuator pitch)]]&gt;10,DM_Control_Error_Param__3[[#This Row],[log-amplitude variance ]]&gt;0.1)</f>
        <v>0</v>
      </c>
    </row>
    <row r="953" spans="1:7" x14ac:dyDescent="0.25">
      <c r="A953" s="1"/>
      <c r="D953" s="1"/>
      <c r="G953" t="b">
        <f>OR(DM_Control_Error_Param__3[[#This Row],[aperture shift (% actuator pitch)]]&gt;10,DM_Control_Error_Param__3[[#This Row],[log-amplitude variance ]]&gt;0.1)</f>
        <v>0</v>
      </c>
    </row>
    <row r="954" spans="1:7" x14ac:dyDescent="0.25">
      <c r="A954" s="1"/>
      <c r="D954" s="1"/>
      <c r="G954" t="b">
        <f>OR(DM_Control_Error_Param__3[[#This Row],[aperture shift (% actuator pitch)]]&gt;10,DM_Control_Error_Param__3[[#This Row],[log-amplitude variance ]]&gt;0.1)</f>
        <v>0</v>
      </c>
    </row>
    <row r="955" spans="1:7" x14ac:dyDescent="0.25">
      <c r="A955" s="1"/>
      <c r="D955" s="1"/>
      <c r="G955" t="b">
        <f>OR(DM_Control_Error_Param__3[[#This Row],[aperture shift (% actuator pitch)]]&gt;10,DM_Control_Error_Param__3[[#This Row],[log-amplitude variance ]]&gt;0.1)</f>
        <v>0</v>
      </c>
    </row>
    <row r="956" spans="1:7" x14ac:dyDescent="0.25">
      <c r="A956" s="1"/>
      <c r="D956" s="1"/>
      <c r="G956" t="b">
        <f>OR(DM_Control_Error_Param__3[[#This Row],[aperture shift (% actuator pitch)]]&gt;10,DM_Control_Error_Param__3[[#This Row],[log-amplitude variance ]]&gt;0.1)</f>
        <v>0</v>
      </c>
    </row>
    <row r="957" spans="1:7" x14ac:dyDescent="0.25">
      <c r="A957" s="1"/>
      <c r="D957" s="1"/>
      <c r="G957" t="b">
        <f>OR(DM_Control_Error_Param__3[[#This Row],[aperture shift (% actuator pitch)]]&gt;10,DM_Control_Error_Param__3[[#This Row],[log-amplitude variance ]]&gt;0.1)</f>
        <v>0</v>
      </c>
    </row>
    <row r="958" spans="1:7" x14ac:dyDescent="0.25">
      <c r="A958" s="1"/>
      <c r="D958" s="1"/>
      <c r="G958" t="b">
        <f>OR(DM_Control_Error_Param__3[[#This Row],[aperture shift (% actuator pitch)]]&gt;10,DM_Control_Error_Param__3[[#This Row],[log-amplitude variance ]]&gt;0.1)</f>
        <v>0</v>
      </c>
    </row>
    <row r="959" spans="1:7" x14ac:dyDescent="0.25">
      <c r="A959" s="1"/>
      <c r="D959" s="1"/>
      <c r="G959" t="b">
        <f>OR(DM_Control_Error_Param__3[[#This Row],[aperture shift (% actuator pitch)]]&gt;10,DM_Control_Error_Param__3[[#This Row],[log-amplitude variance ]]&gt;0.1)</f>
        <v>0</v>
      </c>
    </row>
    <row r="960" spans="1:7" x14ac:dyDescent="0.25">
      <c r="A960" s="1"/>
      <c r="D960" s="1"/>
      <c r="G960" t="b">
        <f>OR(DM_Control_Error_Param__3[[#This Row],[aperture shift (% actuator pitch)]]&gt;10,DM_Control_Error_Param__3[[#This Row],[log-amplitude variance ]]&gt;0.1)</f>
        <v>0</v>
      </c>
    </row>
    <row r="961" spans="1:7" x14ac:dyDescent="0.25">
      <c r="A961" s="1"/>
      <c r="D961" s="1"/>
      <c r="G961" t="b">
        <f>OR(DM_Control_Error_Param__3[[#This Row],[aperture shift (% actuator pitch)]]&gt;10,DM_Control_Error_Param__3[[#This Row],[log-amplitude variance ]]&gt;0.1)</f>
        <v>0</v>
      </c>
    </row>
    <row r="962" spans="1:7" x14ac:dyDescent="0.25">
      <c r="A962" s="1"/>
      <c r="D962" s="1"/>
      <c r="G962" t="b">
        <f>OR(DM_Control_Error_Param__3[[#This Row],[aperture shift (% actuator pitch)]]&gt;10,DM_Control_Error_Param__3[[#This Row],[log-amplitude variance ]]&gt;0.1)</f>
        <v>0</v>
      </c>
    </row>
    <row r="963" spans="1:7" x14ac:dyDescent="0.25">
      <c r="A963" s="1"/>
      <c r="D963" s="1"/>
      <c r="G963" t="b">
        <f>OR(DM_Control_Error_Param__3[[#This Row],[aperture shift (% actuator pitch)]]&gt;10,DM_Control_Error_Param__3[[#This Row],[log-amplitude variance ]]&gt;0.1)</f>
        <v>0</v>
      </c>
    </row>
    <row r="964" spans="1:7" x14ac:dyDescent="0.25">
      <c r="A964" s="1"/>
      <c r="D964" s="1"/>
      <c r="G964" t="b">
        <f>OR(DM_Control_Error_Param__3[[#This Row],[aperture shift (% actuator pitch)]]&gt;10,DM_Control_Error_Param__3[[#This Row],[log-amplitude variance ]]&gt;0.1)</f>
        <v>0</v>
      </c>
    </row>
    <row r="965" spans="1:7" x14ac:dyDescent="0.25">
      <c r="A965" s="1"/>
      <c r="D965" s="1"/>
      <c r="G965" t="b">
        <f>OR(DM_Control_Error_Param__3[[#This Row],[aperture shift (% actuator pitch)]]&gt;10,DM_Control_Error_Param__3[[#This Row],[log-amplitude variance ]]&gt;0.1)</f>
        <v>0</v>
      </c>
    </row>
    <row r="966" spans="1:7" x14ac:dyDescent="0.25">
      <c r="A966" s="1"/>
      <c r="D966" s="1"/>
      <c r="G966" t="b">
        <f>OR(DM_Control_Error_Param__3[[#This Row],[aperture shift (% actuator pitch)]]&gt;10,DM_Control_Error_Param__3[[#This Row],[log-amplitude variance ]]&gt;0.1)</f>
        <v>0</v>
      </c>
    </row>
    <row r="967" spans="1:7" x14ac:dyDescent="0.25">
      <c r="A967" s="1"/>
      <c r="D967" s="1"/>
      <c r="G967" t="b">
        <f>OR(DM_Control_Error_Param__3[[#This Row],[aperture shift (% actuator pitch)]]&gt;10,DM_Control_Error_Param__3[[#This Row],[log-amplitude variance ]]&gt;0.1)</f>
        <v>0</v>
      </c>
    </row>
    <row r="968" spans="1:7" x14ac:dyDescent="0.25">
      <c r="A968" s="1"/>
      <c r="D968" s="1"/>
      <c r="G968" t="b">
        <f>OR(DM_Control_Error_Param__3[[#This Row],[aperture shift (% actuator pitch)]]&gt;10,DM_Control_Error_Param__3[[#This Row],[log-amplitude variance ]]&gt;0.1)</f>
        <v>0</v>
      </c>
    </row>
    <row r="969" spans="1:7" x14ac:dyDescent="0.25">
      <c r="A969" s="1"/>
      <c r="D969" s="1"/>
      <c r="G969" t="b">
        <f>OR(DM_Control_Error_Param__3[[#This Row],[aperture shift (% actuator pitch)]]&gt;10,DM_Control_Error_Param__3[[#This Row],[log-amplitude variance ]]&gt;0.1)</f>
        <v>0</v>
      </c>
    </row>
    <row r="970" spans="1:7" x14ac:dyDescent="0.25">
      <c r="A970" s="1"/>
      <c r="D970" s="1"/>
      <c r="G970" t="b">
        <f>OR(DM_Control_Error_Param__3[[#This Row],[aperture shift (% actuator pitch)]]&gt;10,DM_Control_Error_Param__3[[#This Row],[log-amplitude variance ]]&gt;0.1)</f>
        <v>0</v>
      </c>
    </row>
    <row r="971" spans="1:7" x14ac:dyDescent="0.25">
      <c r="A971" s="1"/>
      <c r="D971" s="1"/>
      <c r="G971" t="b">
        <f>OR(DM_Control_Error_Param__3[[#This Row],[aperture shift (% actuator pitch)]]&gt;10,DM_Control_Error_Param__3[[#This Row],[log-amplitude variance ]]&gt;0.1)</f>
        <v>0</v>
      </c>
    </row>
    <row r="972" spans="1:7" x14ac:dyDescent="0.25">
      <c r="A972" s="1"/>
      <c r="D972" s="1"/>
      <c r="G972" t="b">
        <f>OR(DM_Control_Error_Param__3[[#This Row],[aperture shift (% actuator pitch)]]&gt;10,DM_Control_Error_Param__3[[#This Row],[log-amplitude variance ]]&gt;0.1)</f>
        <v>0</v>
      </c>
    </row>
    <row r="973" spans="1:7" x14ac:dyDescent="0.25">
      <c r="A973" s="1"/>
      <c r="D973" s="1"/>
      <c r="G973" t="b">
        <f>OR(DM_Control_Error_Param__3[[#This Row],[aperture shift (% actuator pitch)]]&gt;10,DM_Control_Error_Param__3[[#This Row],[log-amplitude variance ]]&gt;0.1)</f>
        <v>0</v>
      </c>
    </row>
    <row r="974" spans="1:7" x14ac:dyDescent="0.25">
      <c r="A974" s="1"/>
      <c r="D974" s="1"/>
      <c r="G974" t="b">
        <f>OR(DM_Control_Error_Param__3[[#This Row],[aperture shift (% actuator pitch)]]&gt;10,DM_Control_Error_Param__3[[#This Row],[log-amplitude variance ]]&gt;0.1)</f>
        <v>0</v>
      </c>
    </row>
    <row r="975" spans="1:7" x14ac:dyDescent="0.25">
      <c r="A975" s="1"/>
      <c r="D975" s="1"/>
      <c r="G975" t="b">
        <f>OR(DM_Control_Error_Param__3[[#This Row],[aperture shift (% actuator pitch)]]&gt;10,DM_Control_Error_Param__3[[#This Row],[log-amplitude variance ]]&gt;0.1)</f>
        <v>0</v>
      </c>
    </row>
    <row r="976" spans="1:7" x14ac:dyDescent="0.25">
      <c r="A976" s="1"/>
      <c r="D976" s="1"/>
      <c r="G976" t="b">
        <f>OR(DM_Control_Error_Param__3[[#This Row],[aperture shift (% actuator pitch)]]&gt;10,DM_Control_Error_Param__3[[#This Row],[log-amplitude variance ]]&gt;0.1)</f>
        <v>0</v>
      </c>
    </row>
    <row r="977" spans="1:7" x14ac:dyDescent="0.25">
      <c r="A977" s="1"/>
      <c r="D977" s="1"/>
      <c r="G977" t="b">
        <f>OR(DM_Control_Error_Param__3[[#This Row],[aperture shift (% actuator pitch)]]&gt;10,DM_Control_Error_Param__3[[#This Row],[log-amplitude variance ]]&gt;0.1)</f>
        <v>0</v>
      </c>
    </row>
    <row r="978" spans="1:7" x14ac:dyDescent="0.25">
      <c r="A978" s="1"/>
      <c r="D978" s="1"/>
      <c r="G978" t="b">
        <f>OR(DM_Control_Error_Param__3[[#This Row],[aperture shift (% actuator pitch)]]&gt;10,DM_Control_Error_Param__3[[#This Row],[log-amplitude variance ]]&gt;0.1)</f>
        <v>0</v>
      </c>
    </row>
    <row r="979" spans="1:7" x14ac:dyDescent="0.25">
      <c r="A979" s="1"/>
      <c r="D979" s="1"/>
      <c r="G979" t="b">
        <f>OR(DM_Control_Error_Param__3[[#This Row],[aperture shift (% actuator pitch)]]&gt;10,DM_Control_Error_Param__3[[#This Row],[log-amplitude variance ]]&gt;0.1)</f>
        <v>0</v>
      </c>
    </row>
    <row r="980" spans="1:7" x14ac:dyDescent="0.25">
      <c r="A980" s="1"/>
      <c r="D980" s="1"/>
      <c r="G980" t="b">
        <f>OR(DM_Control_Error_Param__3[[#This Row],[aperture shift (% actuator pitch)]]&gt;10,DM_Control_Error_Param__3[[#This Row],[log-amplitude variance ]]&gt;0.1)</f>
        <v>0</v>
      </c>
    </row>
    <row r="981" spans="1:7" x14ac:dyDescent="0.25">
      <c r="A981" s="1"/>
      <c r="D981" s="1"/>
      <c r="G981" t="b">
        <f>OR(DM_Control_Error_Param__3[[#This Row],[aperture shift (% actuator pitch)]]&gt;10,DM_Control_Error_Param__3[[#This Row],[log-amplitude variance ]]&gt;0.1)</f>
        <v>0</v>
      </c>
    </row>
    <row r="982" spans="1:7" x14ac:dyDescent="0.25">
      <c r="A982" s="1"/>
      <c r="D982" s="1"/>
      <c r="G982" t="b">
        <f>OR(DM_Control_Error_Param__3[[#This Row],[aperture shift (% actuator pitch)]]&gt;10,DM_Control_Error_Param__3[[#This Row],[log-amplitude variance ]]&gt;0.1)</f>
        <v>0</v>
      </c>
    </row>
    <row r="983" spans="1:7" x14ac:dyDescent="0.25">
      <c r="A983" s="1"/>
      <c r="D983" s="1"/>
      <c r="G983" t="b">
        <f>OR(DM_Control_Error_Param__3[[#This Row],[aperture shift (% actuator pitch)]]&gt;10,DM_Control_Error_Param__3[[#This Row],[log-amplitude variance ]]&gt;0.1)</f>
        <v>0</v>
      </c>
    </row>
    <row r="984" spans="1:7" x14ac:dyDescent="0.25">
      <c r="A984" s="1"/>
      <c r="D984" s="1"/>
      <c r="G984" t="b">
        <f>OR(DM_Control_Error_Param__3[[#This Row],[aperture shift (% actuator pitch)]]&gt;10,DM_Control_Error_Param__3[[#This Row],[log-amplitude variance ]]&gt;0.1)</f>
        <v>0</v>
      </c>
    </row>
    <row r="985" spans="1:7" x14ac:dyDescent="0.25">
      <c r="A985" s="1"/>
      <c r="D985" s="1"/>
      <c r="G985" t="b">
        <f>OR(DM_Control_Error_Param__3[[#This Row],[aperture shift (% actuator pitch)]]&gt;10,DM_Control_Error_Param__3[[#This Row],[log-amplitude variance ]]&gt;0.1)</f>
        <v>0</v>
      </c>
    </row>
    <row r="986" spans="1:7" x14ac:dyDescent="0.25">
      <c r="A986" s="1"/>
      <c r="D986" s="1"/>
      <c r="G986" t="b">
        <f>OR(DM_Control_Error_Param__3[[#This Row],[aperture shift (% actuator pitch)]]&gt;10,DM_Control_Error_Param__3[[#This Row],[log-amplitude variance ]]&gt;0.1)</f>
        <v>0</v>
      </c>
    </row>
    <row r="987" spans="1:7" x14ac:dyDescent="0.25">
      <c r="A987" s="1"/>
      <c r="D987" s="1"/>
      <c r="G987" t="b">
        <f>OR(DM_Control_Error_Param__3[[#This Row],[aperture shift (% actuator pitch)]]&gt;10,DM_Control_Error_Param__3[[#This Row],[log-amplitude variance ]]&gt;0.1)</f>
        <v>0</v>
      </c>
    </row>
    <row r="988" spans="1:7" x14ac:dyDescent="0.25">
      <c r="A988" s="1"/>
      <c r="D988" s="1"/>
      <c r="G988" t="b">
        <f>OR(DM_Control_Error_Param__3[[#This Row],[aperture shift (% actuator pitch)]]&gt;10,DM_Control_Error_Param__3[[#This Row],[log-amplitude variance ]]&gt;0.1)</f>
        <v>0</v>
      </c>
    </row>
    <row r="989" spans="1:7" x14ac:dyDescent="0.25">
      <c r="A989" s="1"/>
      <c r="D989" s="1"/>
      <c r="G989" t="b">
        <f>OR(DM_Control_Error_Param__3[[#This Row],[aperture shift (% actuator pitch)]]&gt;10,DM_Control_Error_Param__3[[#This Row],[log-amplitude variance ]]&gt;0.1)</f>
        <v>0</v>
      </c>
    </row>
    <row r="990" spans="1:7" x14ac:dyDescent="0.25">
      <c r="A990" s="1"/>
      <c r="D990" s="1"/>
      <c r="G990" t="b">
        <f>OR(DM_Control_Error_Param__3[[#This Row],[aperture shift (% actuator pitch)]]&gt;10,DM_Control_Error_Param__3[[#This Row],[log-amplitude variance ]]&gt;0.1)</f>
        <v>0</v>
      </c>
    </row>
    <row r="991" spans="1:7" x14ac:dyDescent="0.25">
      <c r="A991" s="1"/>
      <c r="D991" s="1"/>
      <c r="G991" t="b">
        <f>OR(DM_Control_Error_Param__3[[#This Row],[aperture shift (% actuator pitch)]]&gt;10,DM_Control_Error_Param__3[[#This Row],[log-amplitude variance ]]&gt;0.1)</f>
        <v>0</v>
      </c>
    </row>
    <row r="992" spans="1:7" x14ac:dyDescent="0.25">
      <c r="A992" s="1"/>
      <c r="D992" s="1"/>
      <c r="G992" t="b">
        <f>OR(DM_Control_Error_Param__3[[#This Row],[aperture shift (% actuator pitch)]]&gt;10,DM_Control_Error_Param__3[[#This Row],[log-amplitude variance ]]&gt;0.1)</f>
        <v>0</v>
      </c>
    </row>
    <row r="993" spans="1:7" x14ac:dyDescent="0.25">
      <c r="A993" s="1"/>
      <c r="D993" s="1"/>
      <c r="G993" t="b">
        <f>OR(DM_Control_Error_Param__3[[#This Row],[aperture shift (% actuator pitch)]]&gt;10,DM_Control_Error_Param__3[[#This Row],[log-amplitude variance ]]&gt;0.1)</f>
        <v>0</v>
      </c>
    </row>
    <row r="994" spans="1:7" x14ac:dyDescent="0.25">
      <c r="A994" s="1"/>
      <c r="D994" s="1"/>
      <c r="G994" t="b">
        <f>OR(DM_Control_Error_Param__3[[#This Row],[aperture shift (% actuator pitch)]]&gt;10,DM_Control_Error_Param__3[[#This Row],[log-amplitude variance ]]&gt;0.1)</f>
        <v>0</v>
      </c>
    </row>
    <row r="995" spans="1:7" x14ac:dyDescent="0.25">
      <c r="A995" s="1"/>
      <c r="D995" s="1"/>
      <c r="G995" t="b">
        <f>OR(DM_Control_Error_Param__3[[#This Row],[aperture shift (% actuator pitch)]]&gt;10,DM_Control_Error_Param__3[[#This Row],[log-amplitude variance ]]&gt;0.1)</f>
        <v>0</v>
      </c>
    </row>
    <row r="996" spans="1:7" x14ac:dyDescent="0.25">
      <c r="A996" s="1"/>
      <c r="D996" s="1"/>
      <c r="G996" t="b">
        <f>OR(DM_Control_Error_Param__3[[#This Row],[aperture shift (% actuator pitch)]]&gt;10,DM_Control_Error_Param__3[[#This Row],[log-amplitude variance ]]&gt;0.1)</f>
        <v>0</v>
      </c>
    </row>
    <row r="997" spans="1:7" x14ac:dyDescent="0.25">
      <c r="A997" s="1"/>
      <c r="D997" s="1"/>
      <c r="G997" t="b">
        <f>OR(DM_Control_Error_Param__3[[#This Row],[aperture shift (% actuator pitch)]]&gt;10,DM_Control_Error_Param__3[[#This Row],[log-amplitude variance ]]&gt;0.1)</f>
        <v>0</v>
      </c>
    </row>
    <row r="998" spans="1:7" x14ac:dyDescent="0.25">
      <c r="A998" s="1"/>
      <c r="D998" s="1"/>
      <c r="G998" t="b">
        <f>OR(DM_Control_Error_Param__3[[#This Row],[aperture shift (% actuator pitch)]]&gt;10,DM_Control_Error_Param__3[[#This Row],[log-amplitude variance ]]&gt;0.1)</f>
        <v>0</v>
      </c>
    </row>
    <row r="999" spans="1:7" x14ac:dyDescent="0.25">
      <c r="A999" s="1"/>
      <c r="D999" s="1"/>
      <c r="G999" t="b">
        <f>OR(DM_Control_Error_Param__3[[#This Row],[aperture shift (% actuator pitch)]]&gt;10,DM_Control_Error_Param__3[[#This Row],[log-amplitude variance ]]&gt;0.1)</f>
        <v>0</v>
      </c>
    </row>
    <row r="1000" spans="1:7" x14ac:dyDescent="0.25">
      <c r="A1000" s="1"/>
      <c r="D1000" s="1"/>
      <c r="G1000" t="b">
        <f>OR(DM_Control_Error_Param__3[[#This Row],[aperture shift (% actuator pitch)]]&gt;10,DM_Control_Error_Param__3[[#This Row],[log-amplitude variance ]]&gt;0.1)</f>
        <v>0</v>
      </c>
    </row>
    <row r="1001" spans="1:7" x14ac:dyDescent="0.25">
      <c r="A1001" s="1"/>
      <c r="D1001" s="1"/>
      <c r="G1001" t="b">
        <f>OR(DM_Control_Error_Param__3[[#This Row],[aperture shift (% actuator pitch)]]&gt;10,DM_Control_Error_Param__3[[#This Row],[log-amplitude variance ]]&gt;0.1)</f>
        <v>0</v>
      </c>
    </row>
    <row r="1002" spans="1:7" x14ac:dyDescent="0.25">
      <c r="A1002" s="1"/>
      <c r="D1002" s="1"/>
      <c r="G1002" t="b">
        <f>OR(DM_Control_Error_Param__3[[#This Row],[aperture shift (% actuator pitch)]]&gt;10,DM_Control_Error_Param__3[[#This Row],[log-amplitude variance ]]&gt;0.1)</f>
        <v>0</v>
      </c>
    </row>
    <row r="1003" spans="1:7" x14ac:dyDescent="0.25">
      <c r="A1003" s="1"/>
      <c r="D1003" s="1"/>
      <c r="G1003" t="b">
        <f>OR(DM_Control_Error_Param__3[[#This Row],[aperture shift (% actuator pitch)]]&gt;10,DM_Control_Error_Param__3[[#This Row],[log-amplitude variance ]]&gt;0.1)</f>
        <v>0</v>
      </c>
    </row>
    <row r="1004" spans="1:7" x14ac:dyDescent="0.25">
      <c r="A1004" s="1"/>
      <c r="D1004" s="1"/>
      <c r="G1004" t="b">
        <f>OR(DM_Control_Error_Param__3[[#This Row],[aperture shift (% actuator pitch)]]&gt;10,DM_Control_Error_Param__3[[#This Row],[log-amplitude variance ]]&gt;0.1)</f>
        <v>0</v>
      </c>
    </row>
    <row r="1005" spans="1:7" x14ac:dyDescent="0.25">
      <c r="A1005" s="1"/>
      <c r="D1005" s="1"/>
      <c r="G1005" t="b">
        <f>OR(DM_Control_Error_Param__3[[#This Row],[aperture shift (% actuator pitch)]]&gt;10,DM_Control_Error_Param__3[[#This Row],[log-amplitude variance ]]&gt;0.1)</f>
        <v>0</v>
      </c>
    </row>
    <row r="1006" spans="1:7" x14ac:dyDescent="0.25">
      <c r="A1006" s="1"/>
      <c r="D1006" s="1"/>
      <c r="G1006" t="b">
        <f>OR(DM_Control_Error_Param__3[[#This Row],[aperture shift (% actuator pitch)]]&gt;10,DM_Control_Error_Param__3[[#This Row],[log-amplitude variance ]]&gt;0.1)</f>
        <v>0</v>
      </c>
    </row>
    <row r="1007" spans="1:7" x14ac:dyDescent="0.25">
      <c r="A1007" s="1"/>
      <c r="D1007" s="1"/>
      <c r="G1007" t="b">
        <f>OR(DM_Control_Error_Param__3[[#This Row],[aperture shift (% actuator pitch)]]&gt;10,DM_Control_Error_Param__3[[#This Row],[log-amplitude variance ]]&gt;0.1)</f>
        <v>0</v>
      </c>
    </row>
    <row r="1008" spans="1:7" x14ac:dyDescent="0.25">
      <c r="A1008" s="1"/>
      <c r="D1008" s="1"/>
      <c r="G1008" t="b">
        <f>OR(DM_Control_Error_Param__3[[#This Row],[aperture shift (% actuator pitch)]]&gt;10,DM_Control_Error_Param__3[[#This Row],[log-amplitude variance ]]&gt;0.1)</f>
        <v>0</v>
      </c>
    </row>
    <row r="1009" spans="1:7" x14ac:dyDescent="0.25">
      <c r="A1009" s="1"/>
      <c r="D1009" s="1"/>
      <c r="G1009" t="b">
        <f>OR(DM_Control_Error_Param__3[[#This Row],[aperture shift (% actuator pitch)]]&gt;10,DM_Control_Error_Param__3[[#This Row],[log-amplitude variance ]]&gt;0.1)</f>
        <v>0</v>
      </c>
    </row>
    <row r="1010" spans="1:7" x14ac:dyDescent="0.25">
      <c r="A1010" s="1"/>
      <c r="D1010" s="1"/>
      <c r="G1010" t="b">
        <f>OR(DM_Control_Error_Param__3[[#This Row],[aperture shift (% actuator pitch)]]&gt;10,DM_Control_Error_Param__3[[#This Row],[log-amplitude variance ]]&gt;0.1)</f>
        <v>0</v>
      </c>
    </row>
    <row r="1011" spans="1:7" x14ac:dyDescent="0.25">
      <c r="A1011" s="1"/>
      <c r="D1011" s="1"/>
      <c r="G1011" t="b">
        <f>OR(DM_Control_Error_Param__3[[#This Row],[aperture shift (% actuator pitch)]]&gt;10,DM_Control_Error_Param__3[[#This Row],[log-amplitude variance ]]&gt;0.1)</f>
        <v>0</v>
      </c>
    </row>
    <row r="1012" spans="1:7" x14ac:dyDescent="0.25">
      <c r="A1012" s="1"/>
      <c r="D1012" s="1"/>
      <c r="G1012" t="b">
        <f>OR(DM_Control_Error_Param__3[[#This Row],[aperture shift (% actuator pitch)]]&gt;10,DM_Control_Error_Param__3[[#This Row],[log-amplitude variance ]]&gt;0.1)</f>
        <v>0</v>
      </c>
    </row>
    <row r="1013" spans="1:7" x14ac:dyDescent="0.25">
      <c r="A1013" s="1"/>
      <c r="D1013" s="1"/>
      <c r="G1013" t="b">
        <f>OR(DM_Control_Error_Param__3[[#This Row],[aperture shift (% actuator pitch)]]&gt;10,DM_Control_Error_Param__3[[#This Row],[log-amplitude variance ]]&gt;0.1)</f>
        <v>0</v>
      </c>
    </row>
    <row r="1014" spans="1:7" x14ac:dyDescent="0.25">
      <c r="A1014" s="1"/>
      <c r="D1014" s="1"/>
      <c r="G1014" t="b">
        <f>OR(DM_Control_Error_Param__3[[#This Row],[aperture shift (% actuator pitch)]]&gt;10,DM_Control_Error_Param__3[[#This Row],[log-amplitude variance ]]&gt;0.1)</f>
        <v>0</v>
      </c>
    </row>
    <row r="1015" spans="1:7" x14ac:dyDescent="0.25">
      <c r="A1015" s="1"/>
      <c r="D1015" s="1"/>
      <c r="G1015" t="b">
        <f>OR(DM_Control_Error_Param__3[[#This Row],[aperture shift (% actuator pitch)]]&gt;10,DM_Control_Error_Param__3[[#This Row],[log-amplitude variance ]]&gt;0.1)</f>
        <v>0</v>
      </c>
    </row>
    <row r="1016" spans="1:7" x14ac:dyDescent="0.25">
      <c r="A1016" s="1"/>
      <c r="D1016" s="1"/>
      <c r="G1016" t="b">
        <f>OR(DM_Control_Error_Param__3[[#This Row],[aperture shift (% actuator pitch)]]&gt;10,DM_Control_Error_Param__3[[#This Row],[log-amplitude variance ]]&gt;0.1)</f>
        <v>0</v>
      </c>
    </row>
    <row r="1017" spans="1:7" x14ac:dyDescent="0.25">
      <c r="A1017" s="1"/>
      <c r="D1017" s="1"/>
      <c r="G1017" t="b">
        <f>OR(DM_Control_Error_Param__3[[#This Row],[aperture shift (% actuator pitch)]]&gt;10,DM_Control_Error_Param__3[[#This Row],[log-amplitude variance ]]&gt;0.1)</f>
        <v>0</v>
      </c>
    </row>
    <row r="1018" spans="1:7" x14ac:dyDescent="0.25">
      <c r="A1018" s="1"/>
      <c r="D1018" s="1"/>
      <c r="G1018" t="b">
        <f>OR(DM_Control_Error_Param__3[[#This Row],[aperture shift (% actuator pitch)]]&gt;10,DM_Control_Error_Param__3[[#This Row],[log-amplitude variance ]]&gt;0.1)</f>
        <v>0</v>
      </c>
    </row>
    <row r="1019" spans="1:7" x14ac:dyDescent="0.25">
      <c r="A1019" s="1"/>
      <c r="D1019" s="1"/>
      <c r="G1019" t="b">
        <f>OR(DM_Control_Error_Param__3[[#This Row],[aperture shift (% actuator pitch)]]&gt;10,DM_Control_Error_Param__3[[#This Row],[log-amplitude variance ]]&gt;0.1)</f>
        <v>0</v>
      </c>
    </row>
    <row r="1020" spans="1:7" x14ac:dyDescent="0.25">
      <c r="A1020" s="1"/>
      <c r="D1020" s="1"/>
      <c r="G1020" t="b">
        <f>OR(DM_Control_Error_Param__3[[#This Row],[aperture shift (% actuator pitch)]]&gt;10,DM_Control_Error_Param__3[[#This Row],[log-amplitude variance ]]&gt;0.1)</f>
        <v>0</v>
      </c>
    </row>
    <row r="1021" spans="1:7" x14ac:dyDescent="0.25">
      <c r="A1021" s="1"/>
      <c r="D1021" s="1"/>
      <c r="G1021" t="b">
        <f>OR(DM_Control_Error_Param__3[[#This Row],[aperture shift (% actuator pitch)]]&gt;10,DM_Control_Error_Param__3[[#This Row],[log-amplitude variance ]]&gt;0.1)</f>
        <v>0</v>
      </c>
    </row>
    <row r="1022" spans="1:7" x14ac:dyDescent="0.25">
      <c r="A1022" s="1"/>
      <c r="D1022" s="1"/>
      <c r="G1022" t="b">
        <f>OR(DM_Control_Error_Param__3[[#This Row],[aperture shift (% actuator pitch)]]&gt;10,DM_Control_Error_Param__3[[#This Row],[log-amplitude variance ]]&gt;0.1)</f>
        <v>0</v>
      </c>
    </row>
    <row r="1023" spans="1:7" x14ac:dyDescent="0.25">
      <c r="A1023" s="1"/>
      <c r="D1023" s="1"/>
      <c r="G1023" t="b">
        <f>OR(DM_Control_Error_Param__3[[#This Row],[aperture shift (% actuator pitch)]]&gt;10,DM_Control_Error_Param__3[[#This Row],[log-amplitude variance ]]&gt;0.1)</f>
        <v>0</v>
      </c>
    </row>
    <row r="1024" spans="1:7" x14ac:dyDescent="0.25">
      <c r="A1024" s="1"/>
      <c r="D1024" s="1"/>
      <c r="G1024" t="b">
        <f>OR(DM_Control_Error_Param__3[[#This Row],[aperture shift (% actuator pitch)]]&gt;10,DM_Control_Error_Param__3[[#This Row],[log-amplitude variance ]]&gt;0.1)</f>
        <v>0</v>
      </c>
    </row>
    <row r="1025" spans="1:7" x14ac:dyDescent="0.25">
      <c r="A1025" s="1"/>
      <c r="D1025" s="1"/>
      <c r="G1025" t="b">
        <f>OR(DM_Control_Error_Param__3[[#This Row],[aperture shift (% actuator pitch)]]&gt;10,DM_Control_Error_Param__3[[#This Row],[log-amplitude variance ]]&gt;0.1)</f>
        <v>0</v>
      </c>
    </row>
    <row r="1026" spans="1:7" x14ac:dyDescent="0.25">
      <c r="A1026" s="1"/>
      <c r="D1026" s="1"/>
      <c r="G1026" t="b">
        <f>OR(DM_Control_Error_Param__3[[#This Row],[aperture shift (% actuator pitch)]]&gt;10,DM_Control_Error_Param__3[[#This Row],[log-amplitude variance ]]&gt;0.1)</f>
        <v>0</v>
      </c>
    </row>
    <row r="1027" spans="1:7" x14ac:dyDescent="0.25">
      <c r="A1027" s="1"/>
      <c r="D1027" s="1"/>
      <c r="G1027" t="b">
        <f>OR(DM_Control_Error_Param__3[[#This Row],[aperture shift (% actuator pitch)]]&gt;10,DM_Control_Error_Param__3[[#This Row],[log-amplitude variance ]]&gt;0.1)</f>
        <v>0</v>
      </c>
    </row>
    <row r="1028" spans="1:7" x14ac:dyDescent="0.25">
      <c r="A1028" s="1"/>
      <c r="D1028" s="1"/>
      <c r="G1028" t="b">
        <f>OR(DM_Control_Error_Param__3[[#This Row],[aperture shift (% actuator pitch)]]&gt;10,DM_Control_Error_Param__3[[#This Row],[log-amplitude variance ]]&gt;0.1)</f>
        <v>0</v>
      </c>
    </row>
    <row r="1029" spans="1:7" x14ac:dyDescent="0.25">
      <c r="A1029" s="1"/>
      <c r="D1029" s="1"/>
      <c r="G1029" t="b">
        <f>OR(DM_Control_Error_Param__3[[#This Row],[aperture shift (% actuator pitch)]]&gt;10,DM_Control_Error_Param__3[[#This Row],[log-amplitude variance ]]&gt;0.1)</f>
        <v>0</v>
      </c>
    </row>
    <row r="1030" spans="1:7" x14ac:dyDescent="0.25">
      <c r="A1030" s="1"/>
      <c r="D1030" s="1"/>
      <c r="G1030" t="b">
        <f>OR(DM_Control_Error_Param__3[[#This Row],[aperture shift (% actuator pitch)]]&gt;10,DM_Control_Error_Param__3[[#This Row],[log-amplitude variance ]]&gt;0.1)</f>
        <v>0</v>
      </c>
    </row>
    <row r="1031" spans="1:7" x14ac:dyDescent="0.25">
      <c r="A1031" s="1"/>
      <c r="D1031" s="1"/>
      <c r="G1031" t="b">
        <f>OR(DM_Control_Error_Param__3[[#This Row],[aperture shift (% actuator pitch)]]&gt;10,DM_Control_Error_Param__3[[#This Row],[log-amplitude variance ]]&gt;0.1)</f>
        <v>0</v>
      </c>
    </row>
    <row r="1032" spans="1:7" x14ac:dyDescent="0.25">
      <c r="A1032" s="1"/>
      <c r="D1032" s="1"/>
      <c r="G1032" t="b">
        <f>OR(DM_Control_Error_Param__3[[#This Row],[aperture shift (% actuator pitch)]]&gt;10,DM_Control_Error_Param__3[[#This Row],[log-amplitude variance ]]&gt;0.1)</f>
        <v>0</v>
      </c>
    </row>
    <row r="1033" spans="1:7" x14ac:dyDescent="0.25">
      <c r="A1033" s="1"/>
      <c r="D1033" s="1"/>
      <c r="G1033" t="b">
        <f>OR(DM_Control_Error_Param__3[[#This Row],[aperture shift (% actuator pitch)]]&gt;10,DM_Control_Error_Param__3[[#This Row],[log-amplitude variance ]]&gt;0.1)</f>
        <v>0</v>
      </c>
    </row>
    <row r="1034" spans="1:7" x14ac:dyDescent="0.25">
      <c r="A1034" s="1"/>
      <c r="D1034" s="1"/>
      <c r="G1034" t="b">
        <f>OR(DM_Control_Error_Param__3[[#This Row],[aperture shift (% actuator pitch)]]&gt;10,DM_Control_Error_Param__3[[#This Row],[log-amplitude variance ]]&gt;0.1)</f>
        <v>0</v>
      </c>
    </row>
    <row r="1035" spans="1:7" x14ac:dyDescent="0.25">
      <c r="A1035" s="1"/>
      <c r="D1035" s="1"/>
      <c r="G1035" t="b">
        <f>OR(DM_Control_Error_Param__3[[#This Row],[aperture shift (% actuator pitch)]]&gt;10,DM_Control_Error_Param__3[[#This Row],[log-amplitude variance ]]&gt;0.1)</f>
        <v>0</v>
      </c>
    </row>
    <row r="1036" spans="1:7" x14ac:dyDescent="0.25">
      <c r="A1036" s="1"/>
      <c r="D1036" s="1"/>
      <c r="G1036" t="b">
        <f>OR(DM_Control_Error_Param__3[[#This Row],[aperture shift (% actuator pitch)]]&gt;10,DM_Control_Error_Param__3[[#This Row],[log-amplitude variance ]]&gt;0.1)</f>
        <v>0</v>
      </c>
    </row>
    <row r="1037" spans="1:7" x14ac:dyDescent="0.25">
      <c r="A1037" s="1"/>
      <c r="D1037" s="1"/>
      <c r="G1037" t="b">
        <f>OR(DM_Control_Error_Param__3[[#This Row],[aperture shift (% actuator pitch)]]&gt;10,DM_Control_Error_Param__3[[#This Row],[log-amplitude variance ]]&gt;0.1)</f>
        <v>0</v>
      </c>
    </row>
    <row r="1038" spans="1:7" x14ac:dyDescent="0.25">
      <c r="A1038" s="1"/>
      <c r="D1038" s="1"/>
      <c r="G1038" t="b">
        <f>OR(DM_Control_Error_Param__3[[#This Row],[aperture shift (% actuator pitch)]]&gt;10,DM_Control_Error_Param__3[[#This Row],[log-amplitude variance ]]&gt;0.1)</f>
        <v>0</v>
      </c>
    </row>
    <row r="1039" spans="1:7" x14ac:dyDescent="0.25">
      <c r="A1039" s="1"/>
      <c r="D1039" s="1"/>
      <c r="G1039" t="b">
        <f>OR(DM_Control_Error_Param__3[[#This Row],[aperture shift (% actuator pitch)]]&gt;10,DM_Control_Error_Param__3[[#This Row],[log-amplitude variance ]]&gt;0.1)</f>
        <v>0</v>
      </c>
    </row>
    <row r="1040" spans="1:7" x14ac:dyDescent="0.25">
      <c r="A1040" s="1"/>
      <c r="D1040" s="1"/>
      <c r="G1040" t="b">
        <f>OR(DM_Control_Error_Param__3[[#This Row],[aperture shift (% actuator pitch)]]&gt;10,DM_Control_Error_Param__3[[#This Row],[log-amplitude variance ]]&gt;0.1)</f>
        <v>0</v>
      </c>
    </row>
    <row r="1041" spans="1:7" x14ac:dyDescent="0.25">
      <c r="A1041" s="1"/>
      <c r="D1041" s="1"/>
      <c r="G1041" t="b">
        <f>OR(DM_Control_Error_Param__3[[#This Row],[aperture shift (% actuator pitch)]]&gt;10,DM_Control_Error_Param__3[[#This Row],[log-amplitude variance ]]&gt;0.1)</f>
        <v>0</v>
      </c>
    </row>
    <row r="1042" spans="1:7" x14ac:dyDescent="0.25">
      <c r="A1042" s="1"/>
      <c r="D1042" s="1"/>
      <c r="G1042" t="b">
        <f>OR(DM_Control_Error_Param__3[[#This Row],[aperture shift (% actuator pitch)]]&gt;10,DM_Control_Error_Param__3[[#This Row],[log-amplitude variance ]]&gt;0.1)</f>
        <v>0</v>
      </c>
    </row>
    <row r="1043" spans="1:7" x14ac:dyDescent="0.25">
      <c r="A1043" s="1"/>
      <c r="D1043" s="1"/>
      <c r="G1043" t="b">
        <f>OR(DM_Control_Error_Param__3[[#This Row],[aperture shift (% actuator pitch)]]&gt;10,DM_Control_Error_Param__3[[#This Row],[log-amplitude variance ]]&gt;0.1)</f>
        <v>0</v>
      </c>
    </row>
    <row r="1044" spans="1:7" x14ac:dyDescent="0.25">
      <c r="A1044" s="1"/>
      <c r="D1044" s="1"/>
      <c r="G1044" t="b">
        <f>OR(DM_Control_Error_Param__3[[#This Row],[aperture shift (% actuator pitch)]]&gt;10,DM_Control_Error_Param__3[[#This Row],[log-amplitude variance ]]&gt;0.1)</f>
        <v>0</v>
      </c>
    </row>
    <row r="1045" spans="1:7" x14ac:dyDescent="0.25">
      <c r="A1045" s="1"/>
      <c r="D1045" s="1"/>
      <c r="G1045" t="b">
        <f>OR(DM_Control_Error_Param__3[[#This Row],[aperture shift (% actuator pitch)]]&gt;10,DM_Control_Error_Param__3[[#This Row],[log-amplitude variance ]]&gt;0.1)</f>
        <v>0</v>
      </c>
    </row>
    <row r="1046" spans="1:7" x14ac:dyDescent="0.25">
      <c r="A1046" s="1"/>
      <c r="D1046" s="1"/>
      <c r="G1046" t="b">
        <f>OR(DM_Control_Error_Param__3[[#This Row],[aperture shift (% actuator pitch)]]&gt;10,DM_Control_Error_Param__3[[#This Row],[log-amplitude variance ]]&gt;0.1)</f>
        <v>0</v>
      </c>
    </row>
    <row r="1047" spans="1:7" x14ac:dyDescent="0.25">
      <c r="A1047" s="1"/>
      <c r="D1047" s="1"/>
      <c r="G1047" t="b">
        <f>OR(DM_Control_Error_Param__3[[#This Row],[aperture shift (% actuator pitch)]]&gt;10,DM_Control_Error_Param__3[[#This Row],[log-amplitude variance ]]&gt;0.1)</f>
        <v>0</v>
      </c>
    </row>
    <row r="1048" spans="1:7" x14ac:dyDescent="0.25">
      <c r="A1048" s="1"/>
      <c r="D1048" s="1"/>
      <c r="G1048" t="b">
        <f>OR(DM_Control_Error_Param__3[[#This Row],[aperture shift (% actuator pitch)]]&gt;10,DM_Control_Error_Param__3[[#This Row],[log-amplitude variance ]]&gt;0.1)</f>
        <v>0</v>
      </c>
    </row>
    <row r="1049" spans="1:7" x14ac:dyDescent="0.25">
      <c r="A1049" s="1"/>
      <c r="D1049" s="1"/>
      <c r="G1049" t="b">
        <f>OR(DM_Control_Error_Param__3[[#This Row],[aperture shift (% actuator pitch)]]&gt;10,DM_Control_Error_Param__3[[#This Row],[log-amplitude variance ]]&gt;0.1)</f>
        <v>0</v>
      </c>
    </row>
    <row r="1050" spans="1:7" x14ac:dyDescent="0.25">
      <c r="A1050" s="1"/>
      <c r="D1050" s="1"/>
      <c r="G1050" t="b">
        <f>OR(DM_Control_Error_Param__3[[#This Row],[aperture shift (% actuator pitch)]]&gt;10,DM_Control_Error_Param__3[[#This Row],[log-amplitude variance ]]&gt;0.1)</f>
        <v>0</v>
      </c>
    </row>
    <row r="1051" spans="1:7" x14ac:dyDescent="0.25">
      <c r="A1051" s="1"/>
      <c r="D1051" s="1"/>
      <c r="G1051" t="b">
        <f>OR(DM_Control_Error_Param__3[[#This Row],[aperture shift (% actuator pitch)]]&gt;10,DM_Control_Error_Param__3[[#This Row],[log-amplitude variance ]]&gt;0.1)</f>
        <v>0</v>
      </c>
    </row>
    <row r="1052" spans="1:7" x14ac:dyDescent="0.25">
      <c r="A1052" s="1"/>
      <c r="D1052" s="1"/>
      <c r="G1052" t="b">
        <f>OR(DM_Control_Error_Param__3[[#This Row],[aperture shift (% actuator pitch)]]&gt;10,DM_Control_Error_Param__3[[#This Row],[log-amplitude variance ]]&gt;0.1)</f>
        <v>0</v>
      </c>
    </row>
    <row r="1053" spans="1:7" x14ac:dyDescent="0.25">
      <c r="A1053" s="1"/>
      <c r="D1053" s="1"/>
      <c r="G1053" t="b">
        <f>OR(DM_Control_Error_Param__3[[#This Row],[aperture shift (% actuator pitch)]]&gt;10,DM_Control_Error_Param__3[[#This Row],[log-amplitude variance ]]&gt;0.1)</f>
        <v>0</v>
      </c>
    </row>
    <row r="1054" spans="1:7" x14ac:dyDescent="0.25">
      <c r="A1054" s="1"/>
      <c r="D1054" s="1"/>
      <c r="G1054" t="b">
        <f>OR(DM_Control_Error_Param__3[[#This Row],[aperture shift (% actuator pitch)]]&gt;10,DM_Control_Error_Param__3[[#This Row],[log-amplitude variance ]]&gt;0.1)</f>
        <v>0</v>
      </c>
    </row>
    <row r="1055" spans="1:7" x14ac:dyDescent="0.25">
      <c r="A1055" s="1"/>
      <c r="D1055" s="1"/>
      <c r="G1055" t="b">
        <f>OR(DM_Control_Error_Param__3[[#This Row],[aperture shift (% actuator pitch)]]&gt;10,DM_Control_Error_Param__3[[#This Row],[log-amplitude variance ]]&gt;0.1)</f>
        <v>0</v>
      </c>
    </row>
    <row r="1056" spans="1:7" x14ac:dyDescent="0.25">
      <c r="A1056" s="1"/>
      <c r="D1056" s="1"/>
      <c r="G1056" t="b">
        <f>OR(DM_Control_Error_Param__3[[#This Row],[aperture shift (% actuator pitch)]]&gt;10,DM_Control_Error_Param__3[[#This Row],[log-amplitude variance ]]&gt;0.1)</f>
        <v>0</v>
      </c>
    </row>
    <row r="1057" spans="1:7" x14ac:dyDescent="0.25">
      <c r="A1057" s="1"/>
      <c r="D1057" s="1"/>
      <c r="G1057" t="b">
        <f>OR(DM_Control_Error_Param__3[[#This Row],[aperture shift (% actuator pitch)]]&gt;10,DM_Control_Error_Param__3[[#This Row],[log-amplitude variance ]]&gt;0.1)</f>
        <v>0</v>
      </c>
    </row>
    <row r="1058" spans="1:7" x14ac:dyDescent="0.25">
      <c r="A1058" s="1"/>
      <c r="D1058" s="1"/>
      <c r="G1058" t="b">
        <f>OR(DM_Control_Error_Param__3[[#This Row],[aperture shift (% actuator pitch)]]&gt;10,DM_Control_Error_Param__3[[#This Row],[log-amplitude variance ]]&gt;0.1)</f>
        <v>0</v>
      </c>
    </row>
    <row r="1059" spans="1:7" x14ac:dyDescent="0.25">
      <c r="A1059" s="1"/>
      <c r="D1059" s="1"/>
      <c r="G1059" t="b">
        <f>OR(DM_Control_Error_Param__3[[#This Row],[aperture shift (% actuator pitch)]]&gt;10,DM_Control_Error_Param__3[[#This Row],[log-amplitude variance ]]&gt;0.1)</f>
        <v>0</v>
      </c>
    </row>
    <row r="1060" spans="1:7" x14ac:dyDescent="0.25">
      <c r="A1060" s="1"/>
      <c r="D1060" s="1"/>
      <c r="G1060" t="b">
        <f>OR(DM_Control_Error_Param__3[[#This Row],[aperture shift (% actuator pitch)]]&gt;10,DM_Control_Error_Param__3[[#This Row],[log-amplitude variance ]]&gt;0.1)</f>
        <v>0</v>
      </c>
    </row>
    <row r="1061" spans="1:7" x14ac:dyDescent="0.25">
      <c r="A1061" s="1"/>
      <c r="D1061" s="1"/>
      <c r="G1061" t="b">
        <f>OR(DM_Control_Error_Param__3[[#This Row],[aperture shift (% actuator pitch)]]&gt;10,DM_Control_Error_Param__3[[#This Row],[log-amplitude variance ]]&gt;0.1)</f>
        <v>0</v>
      </c>
    </row>
    <row r="1062" spans="1:7" x14ac:dyDescent="0.25">
      <c r="A1062" s="1"/>
      <c r="D1062" s="1"/>
      <c r="G1062" t="b">
        <f>OR(DM_Control_Error_Param__3[[#This Row],[aperture shift (% actuator pitch)]]&gt;10,DM_Control_Error_Param__3[[#This Row],[log-amplitude variance ]]&gt;0.1)</f>
        <v>0</v>
      </c>
    </row>
    <row r="1063" spans="1:7" x14ac:dyDescent="0.25">
      <c r="A1063" s="1"/>
      <c r="D1063" s="1"/>
      <c r="G1063" t="b">
        <f>OR(DM_Control_Error_Param__3[[#This Row],[aperture shift (% actuator pitch)]]&gt;10,DM_Control_Error_Param__3[[#This Row],[log-amplitude variance ]]&gt;0.1)</f>
        <v>0</v>
      </c>
    </row>
    <row r="1064" spans="1:7" x14ac:dyDescent="0.25">
      <c r="A1064" s="1"/>
      <c r="D1064" s="1"/>
      <c r="G1064" t="b">
        <f>OR(DM_Control_Error_Param__3[[#This Row],[aperture shift (% actuator pitch)]]&gt;10,DM_Control_Error_Param__3[[#This Row],[log-amplitude variance ]]&gt;0.1)</f>
        <v>0</v>
      </c>
    </row>
    <row r="1065" spans="1:7" x14ac:dyDescent="0.25">
      <c r="A1065" s="1"/>
      <c r="D1065" s="1"/>
      <c r="G1065" t="b">
        <f>OR(DM_Control_Error_Param__3[[#This Row],[aperture shift (% actuator pitch)]]&gt;10,DM_Control_Error_Param__3[[#This Row],[log-amplitude variance ]]&gt;0.1)</f>
        <v>0</v>
      </c>
    </row>
    <row r="1066" spans="1:7" x14ac:dyDescent="0.25">
      <c r="A1066" s="1"/>
      <c r="D1066" s="1"/>
      <c r="G1066" t="b">
        <f>OR(DM_Control_Error_Param__3[[#This Row],[aperture shift (% actuator pitch)]]&gt;10,DM_Control_Error_Param__3[[#This Row],[log-amplitude variance ]]&gt;0.1)</f>
        <v>0</v>
      </c>
    </row>
    <row r="1067" spans="1:7" x14ac:dyDescent="0.25">
      <c r="A1067" s="1"/>
      <c r="D1067" s="1"/>
      <c r="G1067" t="b">
        <f>OR(DM_Control_Error_Param__3[[#This Row],[aperture shift (% actuator pitch)]]&gt;10,DM_Control_Error_Param__3[[#This Row],[log-amplitude variance ]]&gt;0.1)</f>
        <v>0</v>
      </c>
    </row>
    <row r="1068" spans="1:7" x14ac:dyDescent="0.25">
      <c r="A1068" s="1"/>
      <c r="D1068" s="1"/>
      <c r="G1068" t="b">
        <f>OR(DM_Control_Error_Param__3[[#This Row],[aperture shift (% actuator pitch)]]&gt;10,DM_Control_Error_Param__3[[#This Row],[log-amplitude variance ]]&gt;0.1)</f>
        <v>0</v>
      </c>
    </row>
    <row r="1069" spans="1:7" x14ac:dyDescent="0.25">
      <c r="A1069" s="1"/>
      <c r="D1069" s="1"/>
      <c r="G1069" t="b">
        <f>OR(DM_Control_Error_Param__3[[#This Row],[aperture shift (% actuator pitch)]]&gt;10,DM_Control_Error_Param__3[[#This Row],[log-amplitude variance ]]&gt;0.1)</f>
        <v>0</v>
      </c>
    </row>
    <row r="1070" spans="1:7" x14ac:dyDescent="0.25">
      <c r="A1070" s="1"/>
      <c r="D1070" s="1"/>
      <c r="G1070" t="b">
        <f>OR(DM_Control_Error_Param__3[[#This Row],[aperture shift (% actuator pitch)]]&gt;10,DM_Control_Error_Param__3[[#This Row],[log-amplitude variance ]]&gt;0.1)</f>
        <v>0</v>
      </c>
    </row>
    <row r="1071" spans="1:7" x14ac:dyDescent="0.25">
      <c r="A1071" s="1"/>
      <c r="D1071" s="1"/>
      <c r="G1071" t="b">
        <f>OR(DM_Control_Error_Param__3[[#This Row],[aperture shift (% actuator pitch)]]&gt;10,DM_Control_Error_Param__3[[#This Row],[log-amplitude variance ]]&gt;0.1)</f>
        <v>0</v>
      </c>
    </row>
    <row r="1072" spans="1:7" x14ac:dyDescent="0.25">
      <c r="A1072" s="1"/>
      <c r="D1072" s="1"/>
      <c r="G1072" t="b">
        <f>OR(DM_Control_Error_Param__3[[#This Row],[aperture shift (% actuator pitch)]]&gt;10,DM_Control_Error_Param__3[[#This Row],[log-amplitude variance ]]&gt;0.1)</f>
        <v>0</v>
      </c>
    </row>
    <row r="1073" spans="1:7" x14ac:dyDescent="0.25">
      <c r="A1073" s="1"/>
      <c r="D1073" s="1"/>
      <c r="G1073" t="b">
        <f>OR(DM_Control_Error_Param__3[[#This Row],[aperture shift (% actuator pitch)]]&gt;10,DM_Control_Error_Param__3[[#This Row],[log-amplitude variance ]]&gt;0.1)</f>
        <v>0</v>
      </c>
    </row>
    <row r="1074" spans="1:7" x14ac:dyDescent="0.25">
      <c r="A1074" s="1"/>
      <c r="D1074" s="1"/>
      <c r="G1074" t="b">
        <f>OR(DM_Control_Error_Param__3[[#This Row],[aperture shift (% actuator pitch)]]&gt;10,DM_Control_Error_Param__3[[#This Row],[log-amplitude variance ]]&gt;0.1)</f>
        <v>0</v>
      </c>
    </row>
    <row r="1075" spans="1:7" x14ac:dyDescent="0.25">
      <c r="A1075" s="1"/>
      <c r="D1075" s="1"/>
      <c r="G1075" t="b">
        <f>OR(DM_Control_Error_Param__3[[#This Row],[aperture shift (% actuator pitch)]]&gt;10,DM_Control_Error_Param__3[[#This Row],[log-amplitude variance ]]&gt;0.1)</f>
        <v>0</v>
      </c>
    </row>
    <row r="1076" spans="1:7" x14ac:dyDescent="0.25">
      <c r="A1076" s="1"/>
      <c r="D1076" s="1"/>
      <c r="G1076" t="b">
        <f>OR(DM_Control_Error_Param__3[[#This Row],[aperture shift (% actuator pitch)]]&gt;10,DM_Control_Error_Param__3[[#This Row],[log-amplitude variance ]]&gt;0.1)</f>
        <v>0</v>
      </c>
    </row>
    <row r="1077" spans="1:7" x14ac:dyDescent="0.25">
      <c r="A1077" s="1"/>
      <c r="D1077" s="1"/>
      <c r="G1077" t="b">
        <f>OR(DM_Control_Error_Param__3[[#This Row],[aperture shift (% actuator pitch)]]&gt;10,DM_Control_Error_Param__3[[#This Row],[log-amplitude variance ]]&gt;0.1)</f>
        <v>0</v>
      </c>
    </row>
    <row r="1078" spans="1:7" x14ac:dyDescent="0.25">
      <c r="A1078" s="1"/>
      <c r="D1078" s="1"/>
      <c r="G1078" t="b">
        <f>OR(DM_Control_Error_Param__3[[#This Row],[aperture shift (% actuator pitch)]]&gt;10,DM_Control_Error_Param__3[[#This Row],[log-amplitude variance ]]&gt;0.1)</f>
        <v>0</v>
      </c>
    </row>
    <row r="1079" spans="1:7" x14ac:dyDescent="0.25">
      <c r="A1079" s="1"/>
      <c r="D1079" s="1"/>
      <c r="G1079" t="b">
        <f>OR(DM_Control_Error_Param__3[[#This Row],[aperture shift (% actuator pitch)]]&gt;10,DM_Control_Error_Param__3[[#This Row],[log-amplitude variance ]]&gt;0.1)</f>
        <v>0</v>
      </c>
    </row>
    <row r="1080" spans="1:7" x14ac:dyDescent="0.25">
      <c r="A1080" s="1"/>
      <c r="D1080" s="1"/>
      <c r="G1080" t="b">
        <f>OR(DM_Control_Error_Param__3[[#This Row],[aperture shift (% actuator pitch)]]&gt;10,DM_Control_Error_Param__3[[#This Row],[log-amplitude variance ]]&gt;0.1)</f>
        <v>0</v>
      </c>
    </row>
    <row r="1081" spans="1:7" x14ac:dyDescent="0.25">
      <c r="A1081" s="1"/>
      <c r="D1081" s="1"/>
      <c r="G1081" t="b">
        <f>OR(DM_Control_Error_Param__3[[#This Row],[aperture shift (% actuator pitch)]]&gt;10,DM_Control_Error_Param__3[[#This Row],[log-amplitude variance ]]&gt;0.1)</f>
        <v>0</v>
      </c>
    </row>
    <row r="1082" spans="1:7" x14ac:dyDescent="0.25">
      <c r="A1082" s="1"/>
      <c r="D1082" s="1"/>
      <c r="G1082" t="b">
        <f>OR(DM_Control_Error_Param__3[[#This Row],[aperture shift (% actuator pitch)]]&gt;10,DM_Control_Error_Param__3[[#This Row],[log-amplitude variance ]]&gt;0.1)</f>
        <v>0</v>
      </c>
    </row>
    <row r="1083" spans="1:7" x14ac:dyDescent="0.25">
      <c r="A1083" s="1"/>
      <c r="D1083" s="1"/>
      <c r="G1083" t="b">
        <f>OR(DM_Control_Error_Param__3[[#This Row],[aperture shift (% actuator pitch)]]&gt;10,DM_Control_Error_Param__3[[#This Row],[log-amplitude variance ]]&gt;0.1)</f>
        <v>0</v>
      </c>
    </row>
    <row r="1084" spans="1:7" x14ac:dyDescent="0.25">
      <c r="A1084" s="1"/>
      <c r="D1084" s="1"/>
      <c r="G1084" t="b">
        <f>OR(DM_Control_Error_Param__3[[#This Row],[aperture shift (% actuator pitch)]]&gt;10,DM_Control_Error_Param__3[[#This Row],[log-amplitude variance ]]&gt;0.1)</f>
        <v>0</v>
      </c>
    </row>
    <row r="1085" spans="1:7" x14ac:dyDescent="0.25">
      <c r="A1085" s="1"/>
      <c r="D1085" s="1"/>
      <c r="G1085" t="b">
        <f>OR(DM_Control_Error_Param__3[[#This Row],[aperture shift (% actuator pitch)]]&gt;10,DM_Control_Error_Param__3[[#This Row],[log-amplitude variance ]]&gt;0.1)</f>
        <v>0</v>
      </c>
    </row>
    <row r="1086" spans="1:7" x14ac:dyDescent="0.25">
      <c r="A1086" s="1"/>
      <c r="D1086" s="1"/>
      <c r="G1086" t="b">
        <f>OR(DM_Control_Error_Param__3[[#This Row],[aperture shift (% actuator pitch)]]&gt;10,DM_Control_Error_Param__3[[#This Row],[log-amplitude variance ]]&gt;0.1)</f>
        <v>0</v>
      </c>
    </row>
    <row r="1087" spans="1:7" x14ac:dyDescent="0.25">
      <c r="A1087" s="1"/>
      <c r="D1087" s="1"/>
      <c r="G1087" t="b">
        <f>OR(DM_Control_Error_Param__3[[#This Row],[aperture shift (% actuator pitch)]]&gt;10,DM_Control_Error_Param__3[[#This Row],[log-amplitude variance ]]&gt;0.1)</f>
        <v>0</v>
      </c>
    </row>
    <row r="1088" spans="1:7" x14ac:dyDescent="0.25">
      <c r="A1088" s="1"/>
      <c r="D1088" s="1"/>
      <c r="G1088" t="b">
        <f>OR(DM_Control_Error_Param__3[[#This Row],[aperture shift (% actuator pitch)]]&gt;10,DM_Control_Error_Param__3[[#This Row],[log-amplitude variance ]]&gt;0.1)</f>
        <v>0</v>
      </c>
    </row>
    <row r="1089" spans="1:7" x14ac:dyDescent="0.25">
      <c r="A1089" s="1"/>
      <c r="D1089" s="1"/>
      <c r="G1089" t="b">
        <f>OR(DM_Control_Error_Param__3[[#This Row],[aperture shift (% actuator pitch)]]&gt;10,DM_Control_Error_Param__3[[#This Row],[log-amplitude variance ]]&gt;0.1)</f>
        <v>0</v>
      </c>
    </row>
    <row r="1090" spans="1:7" x14ac:dyDescent="0.25">
      <c r="A1090" s="1"/>
      <c r="D1090" s="1"/>
      <c r="G1090" t="b">
        <f>OR(DM_Control_Error_Param__3[[#This Row],[aperture shift (% actuator pitch)]]&gt;10,DM_Control_Error_Param__3[[#This Row],[log-amplitude variance ]]&gt;0.1)</f>
        <v>0</v>
      </c>
    </row>
    <row r="1091" spans="1:7" x14ac:dyDescent="0.25">
      <c r="A1091" s="1"/>
      <c r="D1091" s="1"/>
      <c r="G1091" t="b">
        <f>OR(DM_Control_Error_Param__3[[#This Row],[aperture shift (% actuator pitch)]]&gt;10,DM_Control_Error_Param__3[[#This Row],[log-amplitude variance ]]&gt;0.1)</f>
        <v>0</v>
      </c>
    </row>
    <row r="1092" spans="1:7" x14ac:dyDescent="0.25">
      <c r="A1092" s="1"/>
      <c r="D1092" s="1"/>
      <c r="G1092" t="b">
        <f>OR(DM_Control_Error_Param__3[[#This Row],[aperture shift (% actuator pitch)]]&gt;10,DM_Control_Error_Param__3[[#This Row],[log-amplitude variance ]]&gt;0.1)</f>
        <v>0</v>
      </c>
    </row>
    <row r="1093" spans="1:7" x14ac:dyDescent="0.25">
      <c r="A1093" s="1"/>
      <c r="D1093" s="1"/>
      <c r="G1093" t="b">
        <f>OR(DM_Control_Error_Param__3[[#This Row],[aperture shift (% actuator pitch)]]&gt;10,DM_Control_Error_Param__3[[#This Row],[log-amplitude variance ]]&gt;0.1)</f>
        <v>0</v>
      </c>
    </row>
    <row r="1094" spans="1:7" x14ac:dyDescent="0.25">
      <c r="A1094" s="1"/>
      <c r="D1094" s="1"/>
      <c r="G1094" t="b">
        <f>OR(DM_Control_Error_Param__3[[#This Row],[aperture shift (% actuator pitch)]]&gt;10,DM_Control_Error_Param__3[[#This Row],[log-amplitude variance ]]&gt;0.1)</f>
        <v>0</v>
      </c>
    </row>
    <row r="1095" spans="1:7" x14ac:dyDescent="0.25">
      <c r="A1095" s="1"/>
      <c r="D1095" s="1"/>
      <c r="G1095" t="b">
        <f>OR(DM_Control_Error_Param__3[[#This Row],[aperture shift (% actuator pitch)]]&gt;10,DM_Control_Error_Param__3[[#This Row],[log-amplitude variance ]]&gt;0.1)</f>
        <v>0</v>
      </c>
    </row>
    <row r="1096" spans="1:7" x14ac:dyDescent="0.25">
      <c r="A1096" s="1"/>
      <c r="D1096" s="1"/>
      <c r="G1096" t="b">
        <f>OR(DM_Control_Error_Param__3[[#This Row],[aperture shift (% actuator pitch)]]&gt;10,DM_Control_Error_Param__3[[#This Row],[log-amplitude variance ]]&gt;0.1)</f>
        <v>0</v>
      </c>
    </row>
    <row r="1097" spans="1:7" x14ac:dyDescent="0.25">
      <c r="A1097" s="1"/>
      <c r="D1097" s="1"/>
      <c r="G1097" t="b">
        <f>OR(DM_Control_Error_Param__3[[#This Row],[aperture shift (% actuator pitch)]]&gt;10,DM_Control_Error_Param__3[[#This Row],[log-amplitude variance ]]&gt;0.1)</f>
        <v>0</v>
      </c>
    </row>
    <row r="1098" spans="1:7" x14ac:dyDescent="0.25">
      <c r="A1098" s="1"/>
      <c r="D1098" s="1"/>
      <c r="G1098" t="b">
        <f>OR(DM_Control_Error_Param__3[[#This Row],[aperture shift (% actuator pitch)]]&gt;10,DM_Control_Error_Param__3[[#This Row],[log-amplitude variance ]]&gt;0.1)</f>
        <v>0</v>
      </c>
    </row>
    <row r="1099" spans="1:7" x14ac:dyDescent="0.25">
      <c r="A1099" s="1"/>
      <c r="D1099" s="1"/>
      <c r="G1099" t="b">
        <f>OR(DM_Control_Error_Param__3[[#This Row],[aperture shift (% actuator pitch)]]&gt;10,DM_Control_Error_Param__3[[#This Row],[log-amplitude variance ]]&gt;0.1)</f>
        <v>0</v>
      </c>
    </row>
    <row r="1100" spans="1:7" x14ac:dyDescent="0.25">
      <c r="A1100" s="1"/>
      <c r="D1100" s="1"/>
      <c r="G1100" t="b">
        <f>OR(DM_Control_Error_Param__3[[#This Row],[aperture shift (% actuator pitch)]]&gt;10,DM_Control_Error_Param__3[[#This Row],[log-amplitude variance ]]&gt;0.1)</f>
        <v>0</v>
      </c>
    </row>
    <row r="1101" spans="1:7" x14ac:dyDescent="0.25">
      <c r="A1101" s="1"/>
      <c r="D1101" s="1"/>
      <c r="G1101" t="b">
        <f>OR(DM_Control_Error_Param__3[[#This Row],[aperture shift (% actuator pitch)]]&gt;10,DM_Control_Error_Param__3[[#This Row],[log-amplitude variance ]]&gt;0.1)</f>
        <v>0</v>
      </c>
    </row>
    <row r="1102" spans="1:7" x14ac:dyDescent="0.25">
      <c r="A1102" s="1"/>
      <c r="D1102" s="1"/>
      <c r="G1102" t="b">
        <f>OR(DM_Control_Error_Param__3[[#This Row],[aperture shift (% actuator pitch)]]&gt;10,DM_Control_Error_Param__3[[#This Row],[log-amplitude variance ]]&gt;0.1)</f>
        <v>0</v>
      </c>
    </row>
    <row r="1103" spans="1:7" x14ac:dyDescent="0.25">
      <c r="A1103" s="1"/>
      <c r="D1103" s="1"/>
      <c r="G1103" t="b">
        <f>OR(DM_Control_Error_Param__3[[#This Row],[aperture shift (% actuator pitch)]]&gt;10,DM_Control_Error_Param__3[[#This Row],[log-amplitude variance ]]&gt;0.1)</f>
        <v>0</v>
      </c>
    </row>
    <row r="1104" spans="1:7" x14ac:dyDescent="0.25">
      <c r="A1104" s="1"/>
      <c r="D1104" s="1"/>
      <c r="G1104" t="b">
        <f>OR(DM_Control_Error_Param__3[[#This Row],[aperture shift (% actuator pitch)]]&gt;10,DM_Control_Error_Param__3[[#This Row],[log-amplitude variance ]]&gt;0.1)</f>
        <v>0</v>
      </c>
    </row>
    <row r="1105" spans="1:7" x14ac:dyDescent="0.25">
      <c r="A1105" s="1"/>
      <c r="D1105" s="1"/>
      <c r="G1105" t="b">
        <f>OR(DM_Control_Error_Param__3[[#This Row],[aperture shift (% actuator pitch)]]&gt;10,DM_Control_Error_Param__3[[#This Row],[log-amplitude variance ]]&gt;0.1)</f>
        <v>0</v>
      </c>
    </row>
    <row r="1106" spans="1:7" x14ac:dyDescent="0.25">
      <c r="A1106" s="1"/>
      <c r="D1106" s="1"/>
      <c r="G1106" t="b">
        <f>OR(DM_Control_Error_Param__3[[#This Row],[aperture shift (% actuator pitch)]]&gt;10,DM_Control_Error_Param__3[[#This Row],[log-amplitude variance ]]&gt;0.1)</f>
        <v>0</v>
      </c>
    </row>
    <row r="1107" spans="1:7" x14ac:dyDescent="0.25">
      <c r="A1107" s="1"/>
      <c r="D1107" s="1"/>
      <c r="G1107" t="b">
        <f>OR(DM_Control_Error_Param__3[[#This Row],[aperture shift (% actuator pitch)]]&gt;10,DM_Control_Error_Param__3[[#This Row],[log-amplitude variance ]]&gt;0.1)</f>
        <v>0</v>
      </c>
    </row>
    <row r="1108" spans="1:7" x14ac:dyDescent="0.25">
      <c r="A1108" s="1"/>
      <c r="D1108" s="1"/>
      <c r="G1108" t="b">
        <f>OR(DM_Control_Error_Param__3[[#This Row],[aperture shift (% actuator pitch)]]&gt;10,DM_Control_Error_Param__3[[#This Row],[log-amplitude variance ]]&gt;0.1)</f>
        <v>0</v>
      </c>
    </row>
    <row r="1109" spans="1:7" x14ac:dyDescent="0.25">
      <c r="A1109" s="1"/>
      <c r="D1109" s="1"/>
      <c r="G1109" t="b">
        <f>OR(DM_Control_Error_Param__3[[#This Row],[aperture shift (% actuator pitch)]]&gt;10,DM_Control_Error_Param__3[[#This Row],[log-amplitude variance ]]&gt;0.1)</f>
        <v>0</v>
      </c>
    </row>
    <row r="1110" spans="1:7" x14ac:dyDescent="0.25">
      <c r="A1110" s="1"/>
      <c r="D1110" s="1"/>
      <c r="G1110" t="b">
        <f>OR(DM_Control_Error_Param__3[[#This Row],[aperture shift (% actuator pitch)]]&gt;10,DM_Control_Error_Param__3[[#This Row],[log-amplitude variance ]]&gt;0.1)</f>
        <v>0</v>
      </c>
    </row>
    <row r="1111" spans="1:7" x14ac:dyDescent="0.25">
      <c r="A1111" s="1"/>
      <c r="D1111" s="1"/>
      <c r="G1111" t="b">
        <f>OR(DM_Control_Error_Param__3[[#This Row],[aperture shift (% actuator pitch)]]&gt;10,DM_Control_Error_Param__3[[#This Row],[log-amplitude variance ]]&gt;0.1)</f>
        <v>0</v>
      </c>
    </row>
    <row r="1112" spans="1:7" x14ac:dyDescent="0.25">
      <c r="A1112" s="1"/>
      <c r="D1112" s="1"/>
      <c r="G1112" t="b">
        <f>OR(DM_Control_Error_Param__3[[#This Row],[aperture shift (% actuator pitch)]]&gt;10,DM_Control_Error_Param__3[[#This Row],[log-amplitude variance ]]&gt;0.1)</f>
        <v>0</v>
      </c>
    </row>
    <row r="1113" spans="1:7" x14ac:dyDescent="0.25">
      <c r="A1113" s="1"/>
      <c r="D1113" s="1"/>
      <c r="G1113" t="b">
        <f>OR(DM_Control_Error_Param__3[[#This Row],[aperture shift (% actuator pitch)]]&gt;10,DM_Control_Error_Param__3[[#This Row],[log-amplitude variance ]]&gt;0.1)</f>
        <v>0</v>
      </c>
    </row>
    <row r="1114" spans="1:7" x14ac:dyDescent="0.25">
      <c r="A1114" s="1"/>
      <c r="D1114" s="1"/>
      <c r="G1114" t="b">
        <f>OR(DM_Control_Error_Param__3[[#This Row],[aperture shift (% actuator pitch)]]&gt;10,DM_Control_Error_Param__3[[#This Row],[log-amplitude variance ]]&gt;0.1)</f>
        <v>0</v>
      </c>
    </row>
    <row r="1115" spans="1:7" x14ac:dyDescent="0.25">
      <c r="A1115" s="1"/>
      <c r="D1115" s="1"/>
      <c r="G1115" t="b">
        <f>OR(DM_Control_Error_Param__3[[#This Row],[aperture shift (% actuator pitch)]]&gt;10,DM_Control_Error_Param__3[[#This Row],[log-amplitude variance ]]&gt;0.1)</f>
        <v>0</v>
      </c>
    </row>
    <row r="1116" spans="1:7" x14ac:dyDescent="0.25">
      <c r="A1116" s="1"/>
      <c r="D1116" s="1"/>
      <c r="G1116" t="b">
        <f>OR(DM_Control_Error_Param__3[[#This Row],[aperture shift (% actuator pitch)]]&gt;10,DM_Control_Error_Param__3[[#This Row],[log-amplitude variance ]]&gt;0.1)</f>
        <v>0</v>
      </c>
    </row>
    <row r="1117" spans="1:7" x14ac:dyDescent="0.25">
      <c r="A1117" s="1"/>
      <c r="D1117" s="1"/>
      <c r="G1117" t="b">
        <f>OR(DM_Control_Error_Param__3[[#This Row],[aperture shift (% actuator pitch)]]&gt;10,DM_Control_Error_Param__3[[#This Row],[log-amplitude variance ]]&gt;0.1)</f>
        <v>0</v>
      </c>
    </row>
    <row r="1118" spans="1:7" x14ac:dyDescent="0.25">
      <c r="A1118" s="1"/>
      <c r="D1118" s="1"/>
      <c r="G1118" t="b">
        <f>OR(DM_Control_Error_Param__3[[#This Row],[aperture shift (% actuator pitch)]]&gt;10,DM_Control_Error_Param__3[[#This Row],[log-amplitude variance ]]&gt;0.1)</f>
        <v>0</v>
      </c>
    </row>
    <row r="1119" spans="1:7" x14ac:dyDescent="0.25">
      <c r="A1119" s="1"/>
      <c r="D1119" s="1"/>
      <c r="G1119" t="b">
        <f>OR(DM_Control_Error_Param__3[[#This Row],[aperture shift (% actuator pitch)]]&gt;10,DM_Control_Error_Param__3[[#This Row],[log-amplitude variance ]]&gt;0.1)</f>
        <v>0</v>
      </c>
    </row>
    <row r="1120" spans="1:7" x14ac:dyDescent="0.25">
      <c r="A1120" s="1"/>
      <c r="D1120" s="1"/>
      <c r="G1120" t="b">
        <f>OR(DM_Control_Error_Param__3[[#This Row],[aperture shift (% actuator pitch)]]&gt;10,DM_Control_Error_Param__3[[#This Row],[log-amplitude variance ]]&gt;0.1)</f>
        <v>0</v>
      </c>
    </row>
    <row r="1121" spans="1:7" x14ac:dyDescent="0.25">
      <c r="A1121" s="1"/>
      <c r="D1121" s="1"/>
      <c r="G1121" t="b">
        <f>OR(DM_Control_Error_Param__3[[#This Row],[aperture shift (% actuator pitch)]]&gt;10,DM_Control_Error_Param__3[[#This Row],[log-amplitude variance ]]&gt;0.1)</f>
        <v>0</v>
      </c>
    </row>
    <row r="1122" spans="1:7" x14ac:dyDescent="0.25">
      <c r="A1122" s="1"/>
      <c r="D1122" s="1"/>
      <c r="G1122" t="b">
        <f>OR(DM_Control_Error_Param__3[[#This Row],[aperture shift (% actuator pitch)]]&gt;10,DM_Control_Error_Param__3[[#This Row],[log-amplitude variance ]]&gt;0.1)</f>
        <v>0</v>
      </c>
    </row>
    <row r="1123" spans="1:7" x14ac:dyDescent="0.25">
      <c r="A1123" s="1"/>
      <c r="D1123" s="1"/>
      <c r="G1123" t="b">
        <f>OR(DM_Control_Error_Param__3[[#This Row],[aperture shift (% actuator pitch)]]&gt;10,DM_Control_Error_Param__3[[#This Row],[log-amplitude variance ]]&gt;0.1)</f>
        <v>0</v>
      </c>
    </row>
    <row r="1124" spans="1:7" x14ac:dyDescent="0.25">
      <c r="A1124" s="1"/>
      <c r="D1124" s="1"/>
      <c r="G1124" t="b">
        <f>OR(DM_Control_Error_Param__3[[#This Row],[aperture shift (% actuator pitch)]]&gt;10,DM_Control_Error_Param__3[[#This Row],[log-amplitude variance ]]&gt;0.1)</f>
        <v>0</v>
      </c>
    </row>
    <row r="1125" spans="1:7" x14ac:dyDescent="0.25">
      <c r="A1125" s="1"/>
      <c r="D1125" s="1"/>
      <c r="G1125" t="b">
        <f>OR(DM_Control_Error_Param__3[[#This Row],[aperture shift (% actuator pitch)]]&gt;10,DM_Control_Error_Param__3[[#This Row],[log-amplitude variance ]]&gt;0.1)</f>
        <v>0</v>
      </c>
    </row>
    <row r="1126" spans="1:7" x14ac:dyDescent="0.25">
      <c r="A1126" s="1"/>
      <c r="D1126" s="1"/>
      <c r="G1126" t="b">
        <f>OR(DM_Control_Error_Param__3[[#This Row],[aperture shift (% actuator pitch)]]&gt;10,DM_Control_Error_Param__3[[#This Row],[log-amplitude variance ]]&gt;0.1)</f>
        <v>0</v>
      </c>
    </row>
    <row r="1127" spans="1:7" x14ac:dyDescent="0.25">
      <c r="A1127" s="1"/>
      <c r="D1127" s="1"/>
      <c r="G1127" t="b">
        <f>OR(DM_Control_Error_Param__3[[#This Row],[aperture shift (% actuator pitch)]]&gt;10,DM_Control_Error_Param__3[[#This Row],[log-amplitude variance ]]&gt;0.1)</f>
        <v>0</v>
      </c>
    </row>
    <row r="1128" spans="1:7" x14ac:dyDescent="0.25">
      <c r="A1128" s="1"/>
      <c r="D1128" s="1"/>
      <c r="G1128" t="b">
        <f>OR(DM_Control_Error_Param__3[[#This Row],[aperture shift (% actuator pitch)]]&gt;10,DM_Control_Error_Param__3[[#This Row],[log-amplitude variance ]]&gt;0.1)</f>
        <v>0</v>
      </c>
    </row>
    <row r="1129" spans="1:7" x14ac:dyDescent="0.25">
      <c r="A1129" s="1"/>
      <c r="D1129" s="1"/>
      <c r="G1129" t="b">
        <f>OR(DM_Control_Error_Param__3[[#This Row],[aperture shift (% actuator pitch)]]&gt;10,DM_Control_Error_Param__3[[#This Row],[log-amplitude variance ]]&gt;0.1)</f>
        <v>0</v>
      </c>
    </row>
    <row r="1130" spans="1:7" x14ac:dyDescent="0.25">
      <c r="A1130" s="1"/>
      <c r="D1130" s="1"/>
      <c r="G1130" t="b">
        <f>OR(DM_Control_Error_Param__3[[#This Row],[aperture shift (% actuator pitch)]]&gt;10,DM_Control_Error_Param__3[[#This Row],[log-amplitude variance ]]&gt;0.1)</f>
        <v>0</v>
      </c>
    </row>
    <row r="1131" spans="1:7" x14ac:dyDescent="0.25">
      <c r="A1131" s="1"/>
      <c r="D1131" s="1"/>
      <c r="G1131" t="b">
        <f>OR(DM_Control_Error_Param__3[[#This Row],[aperture shift (% actuator pitch)]]&gt;10,DM_Control_Error_Param__3[[#This Row],[log-amplitude variance ]]&gt;0.1)</f>
        <v>0</v>
      </c>
    </row>
    <row r="1132" spans="1:7" x14ac:dyDescent="0.25">
      <c r="A1132" s="1"/>
      <c r="D1132" s="1"/>
      <c r="G1132" t="b">
        <f>OR(DM_Control_Error_Param__3[[#This Row],[aperture shift (% actuator pitch)]]&gt;10,DM_Control_Error_Param__3[[#This Row],[log-amplitude variance ]]&gt;0.1)</f>
        <v>0</v>
      </c>
    </row>
    <row r="1133" spans="1:7" x14ac:dyDescent="0.25">
      <c r="A1133" s="1"/>
      <c r="D1133" s="1"/>
      <c r="G1133" t="b">
        <f>OR(DM_Control_Error_Param__3[[#This Row],[aperture shift (% actuator pitch)]]&gt;10,DM_Control_Error_Param__3[[#This Row],[log-amplitude variance ]]&gt;0.1)</f>
        <v>0</v>
      </c>
    </row>
    <row r="1134" spans="1:7" x14ac:dyDescent="0.25">
      <c r="A1134" s="1"/>
      <c r="D1134" s="1"/>
      <c r="G1134" t="b">
        <f>OR(DM_Control_Error_Param__3[[#This Row],[aperture shift (% actuator pitch)]]&gt;10,DM_Control_Error_Param__3[[#This Row],[log-amplitude variance ]]&gt;0.1)</f>
        <v>0</v>
      </c>
    </row>
    <row r="1135" spans="1:7" x14ac:dyDescent="0.25">
      <c r="A1135" s="1"/>
      <c r="D1135" s="1"/>
      <c r="G1135" t="b">
        <f>OR(DM_Control_Error_Param__3[[#This Row],[aperture shift (% actuator pitch)]]&gt;10,DM_Control_Error_Param__3[[#This Row],[log-amplitude variance ]]&gt;0.1)</f>
        <v>0</v>
      </c>
    </row>
    <row r="1136" spans="1:7" x14ac:dyDescent="0.25">
      <c r="A1136" s="1"/>
      <c r="D1136" s="1"/>
      <c r="G1136" t="b">
        <f>OR(DM_Control_Error_Param__3[[#This Row],[aperture shift (% actuator pitch)]]&gt;10,DM_Control_Error_Param__3[[#This Row],[log-amplitude variance ]]&gt;0.1)</f>
        <v>0</v>
      </c>
    </row>
    <row r="1137" spans="1:7" x14ac:dyDescent="0.25">
      <c r="A1137" s="1"/>
      <c r="D1137" s="1"/>
      <c r="G1137" t="b">
        <f>OR(DM_Control_Error_Param__3[[#This Row],[aperture shift (% actuator pitch)]]&gt;10,DM_Control_Error_Param__3[[#This Row],[log-amplitude variance ]]&gt;0.1)</f>
        <v>0</v>
      </c>
    </row>
    <row r="1138" spans="1:7" x14ac:dyDescent="0.25">
      <c r="A1138" s="1"/>
      <c r="D1138" s="1"/>
      <c r="G1138" t="b">
        <f>OR(DM_Control_Error_Param__3[[#This Row],[aperture shift (% actuator pitch)]]&gt;10,DM_Control_Error_Param__3[[#This Row],[log-amplitude variance ]]&gt;0.1)</f>
        <v>0</v>
      </c>
    </row>
    <row r="1139" spans="1:7" x14ac:dyDescent="0.25">
      <c r="A1139" s="1"/>
      <c r="D1139" s="1"/>
      <c r="G1139" t="b">
        <f>OR(DM_Control_Error_Param__3[[#This Row],[aperture shift (% actuator pitch)]]&gt;10,DM_Control_Error_Param__3[[#This Row],[log-amplitude variance ]]&gt;0.1)</f>
        <v>0</v>
      </c>
    </row>
    <row r="1140" spans="1:7" x14ac:dyDescent="0.25">
      <c r="A1140" s="1"/>
      <c r="D1140" s="1"/>
      <c r="G1140" t="b">
        <f>OR(DM_Control_Error_Param__3[[#This Row],[aperture shift (% actuator pitch)]]&gt;10,DM_Control_Error_Param__3[[#This Row],[log-amplitude variance ]]&gt;0.1)</f>
        <v>0</v>
      </c>
    </row>
    <row r="1141" spans="1:7" x14ac:dyDescent="0.25">
      <c r="A1141" s="1"/>
      <c r="D1141" s="1"/>
      <c r="G1141" t="b">
        <f>OR(DM_Control_Error_Param__3[[#This Row],[aperture shift (% actuator pitch)]]&gt;10,DM_Control_Error_Param__3[[#This Row],[log-amplitude variance ]]&gt;0.1)</f>
        <v>0</v>
      </c>
    </row>
    <row r="1142" spans="1:7" x14ac:dyDescent="0.25">
      <c r="A1142" s="1"/>
      <c r="D1142" s="1"/>
      <c r="G1142" t="b">
        <f>OR(DM_Control_Error_Param__3[[#This Row],[aperture shift (% actuator pitch)]]&gt;10,DM_Control_Error_Param__3[[#This Row],[log-amplitude variance ]]&gt;0.1)</f>
        <v>0</v>
      </c>
    </row>
    <row r="1143" spans="1:7" x14ac:dyDescent="0.25">
      <c r="A1143" s="1"/>
      <c r="D1143" s="1"/>
      <c r="G1143" t="b">
        <f>OR(DM_Control_Error_Param__3[[#This Row],[aperture shift (% actuator pitch)]]&gt;10,DM_Control_Error_Param__3[[#This Row],[log-amplitude variance ]]&gt;0.1)</f>
        <v>0</v>
      </c>
    </row>
    <row r="1144" spans="1:7" x14ac:dyDescent="0.25">
      <c r="A1144" s="1"/>
      <c r="D1144" s="1"/>
      <c r="G1144" t="b">
        <f>OR(DM_Control_Error_Param__3[[#This Row],[aperture shift (% actuator pitch)]]&gt;10,DM_Control_Error_Param__3[[#This Row],[log-amplitude variance ]]&gt;0.1)</f>
        <v>0</v>
      </c>
    </row>
    <row r="1145" spans="1:7" x14ac:dyDescent="0.25">
      <c r="A1145" s="1"/>
      <c r="D1145" s="1"/>
      <c r="G1145" t="b">
        <f>OR(DM_Control_Error_Param__3[[#This Row],[aperture shift (% actuator pitch)]]&gt;10,DM_Control_Error_Param__3[[#This Row],[log-amplitude variance ]]&gt;0.1)</f>
        <v>0</v>
      </c>
    </row>
    <row r="1146" spans="1:7" x14ac:dyDescent="0.25">
      <c r="A1146" s="1"/>
      <c r="D1146" s="1"/>
      <c r="G1146" t="b">
        <f>OR(DM_Control_Error_Param__3[[#This Row],[aperture shift (% actuator pitch)]]&gt;10,DM_Control_Error_Param__3[[#This Row],[log-amplitude variance ]]&gt;0.1)</f>
        <v>0</v>
      </c>
    </row>
    <row r="1147" spans="1:7" x14ac:dyDescent="0.25">
      <c r="A1147" s="1"/>
      <c r="D1147" s="1"/>
      <c r="G1147" t="b">
        <f>OR(DM_Control_Error_Param__3[[#This Row],[aperture shift (% actuator pitch)]]&gt;10,DM_Control_Error_Param__3[[#This Row],[log-amplitude variance ]]&gt;0.1)</f>
        <v>0</v>
      </c>
    </row>
    <row r="1148" spans="1:7" x14ac:dyDescent="0.25">
      <c r="A1148" s="1"/>
      <c r="D1148" s="1"/>
      <c r="G1148" t="b">
        <f>OR(DM_Control_Error_Param__3[[#This Row],[aperture shift (% actuator pitch)]]&gt;10,DM_Control_Error_Param__3[[#This Row],[log-amplitude variance ]]&gt;0.1)</f>
        <v>0</v>
      </c>
    </row>
    <row r="1149" spans="1:7" x14ac:dyDescent="0.25">
      <c r="A1149" s="1"/>
      <c r="D1149" s="1"/>
      <c r="G1149" t="b">
        <f>OR(DM_Control_Error_Param__3[[#This Row],[aperture shift (% actuator pitch)]]&gt;10,DM_Control_Error_Param__3[[#This Row],[log-amplitude variance ]]&gt;0.1)</f>
        <v>0</v>
      </c>
    </row>
    <row r="1150" spans="1:7" x14ac:dyDescent="0.25">
      <c r="A1150" s="1"/>
      <c r="D1150" s="1"/>
      <c r="G1150" t="b">
        <f>OR(DM_Control_Error_Param__3[[#This Row],[aperture shift (% actuator pitch)]]&gt;10,DM_Control_Error_Param__3[[#This Row],[log-amplitude variance ]]&gt;0.1)</f>
        <v>0</v>
      </c>
    </row>
    <row r="1151" spans="1:7" x14ac:dyDescent="0.25">
      <c r="A1151" s="1"/>
      <c r="D1151" s="1"/>
      <c r="G1151" t="b">
        <f>OR(DM_Control_Error_Param__3[[#This Row],[aperture shift (% actuator pitch)]]&gt;10,DM_Control_Error_Param__3[[#This Row],[log-amplitude variance ]]&gt;0.1)</f>
        <v>0</v>
      </c>
    </row>
    <row r="1152" spans="1:7" x14ac:dyDescent="0.25">
      <c r="A1152" s="1"/>
      <c r="D1152" s="1"/>
      <c r="G1152" t="b">
        <f>OR(DM_Control_Error_Param__3[[#This Row],[aperture shift (% actuator pitch)]]&gt;10,DM_Control_Error_Param__3[[#This Row],[log-amplitude variance ]]&gt;0.1)</f>
        <v>0</v>
      </c>
    </row>
    <row r="1153" spans="1:7" x14ac:dyDescent="0.25">
      <c r="A1153" s="1"/>
      <c r="D1153" s="1"/>
      <c r="G1153" t="b">
        <f>OR(DM_Control_Error_Param__3[[#This Row],[aperture shift (% actuator pitch)]]&gt;10,DM_Control_Error_Param__3[[#This Row],[log-amplitude variance ]]&gt;0.1)</f>
        <v>0</v>
      </c>
    </row>
    <row r="1154" spans="1:7" x14ac:dyDescent="0.25">
      <c r="A1154" s="1"/>
      <c r="D1154" s="1"/>
      <c r="G1154" t="b">
        <f>OR(DM_Control_Error_Param__3[[#This Row],[aperture shift (% actuator pitch)]]&gt;10,DM_Control_Error_Param__3[[#This Row],[log-amplitude variance ]]&gt;0.1)</f>
        <v>0</v>
      </c>
    </row>
    <row r="1155" spans="1:7" x14ac:dyDescent="0.25">
      <c r="A1155" s="1"/>
      <c r="D1155" s="1"/>
      <c r="G1155" t="b">
        <f>OR(DM_Control_Error_Param__3[[#This Row],[aperture shift (% actuator pitch)]]&gt;10,DM_Control_Error_Param__3[[#This Row],[log-amplitude variance ]]&gt;0.1)</f>
        <v>0</v>
      </c>
    </row>
    <row r="1156" spans="1:7" x14ac:dyDescent="0.25">
      <c r="A1156" s="1"/>
      <c r="D1156" s="1"/>
      <c r="G1156" t="b">
        <f>OR(DM_Control_Error_Param__3[[#This Row],[aperture shift (% actuator pitch)]]&gt;10,DM_Control_Error_Param__3[[#This Row],[log-amplitude variance ]]&gt;0.1)</f>
        <v>0</v>
      </c>
    </row>
    <row r="1157" spans="1:7" x14ac:dyDescent="0.25">
      <c r="A1157" s="1"/>
      <c r="D1157" s="1"/>
      <c r="G1157" t="b">
        <f>OR(DM_Control_Error_Param__3[[#This Row],[aperture shift (% actuator pitch)]]&gt;10,DM_Control_Error_Param__3[[#This Row],[log-amplitude variance ]]&gt;0.1)</f>
        <v>0</v>
      </c>
    </row>
    <row r="1158" spans="1:7" x14ac:dyDescent="0.25">
      <c r="A1158" s="1"/>
      <c r="D1158" s="1"/>
      <c r="G1158" t="b">
        <f>OR(DM_Control_Error_Param__3[[#This Row],[aperture shift (% actuator pitch)]]&gt;10,DM_Control_Error_Param__3[[#This Row],[log-amplitude variance ]]&gt;0.1)</f>
        <v>0</v>
      </c>
    </row>
    <row r="1159" spans="1:7" x14ac:dyDescent="0.25">
      <c r="A1159" s="1"/>
      <c r="D1159" s="1"/>
      <c r="G1159" t="b">
        <f>OR(DM_Control_Error_Param__3[[#This Row],[aperture shift (% actuator pitch)]]&gt;10,DM_Control_Error_Param__3[[#This Row],[log-amplitude variance ]]&gt;0.1)</f>
        <v>0</v>
      </c>
    </row>
    <row r="1160" spans="1:7" x14ac:dyDescent="0.25">
      <c r="A1160" s="1"/>
      <c r="D1160" s="1"/>
      <c r="G1160" t="b">
        <f>OR(DM_Control_Error_Param__3[[#This Row],[aperture shift (% actuator pitch)]]&gt;10,DM_Control_Error_Param__3[[#This Row],[log-amplitude variance ]]&gt;0.1)</f>
        <v>0</v>
      </c>
    </row>
    <row r="1161" spans="1:7" x14ac:dyDescent="0.25">
      <c r="A1161" s="1"/>
      <c r="D1161" s="1"/>
      <c r="G1161" t="b">
        <f>OR(DM_Control_Error_Param__3[[#This Row],[aperture shift (% actuator pitch)]]&gt;10,DM_Control_Error_Param__3[[#This Row],[log-amplitude variance ]]&gt;0.1)</f>
        <v>0</v>
      </c>
    </row>
    <row r="1162" spans="1:7" x14ac:dyDescent="0.25">
      <c r="A1162" s="1"/>
      <c r="D1162" s="1"/>
      <c r="G1162" t="b">
        <f>OR(DM_Control_Error_Param__3[[#This Row],[aperture shift (% actuator pitch)]]&gt;10,DM_Control_Error_Param__3[[#This Row],[log-amplitude variance ]]&gt;0.1)</f>
        <v>0</v>
      </c>
    </row>
    <row r="1163" spans="1:7" x14ac:dyDescent="0.25">
      <c r="A1163" s="1"/>
      <c r="D1163" s="1"/>
      <c r="G1163" t="b">
        <f>OR(DM_Control_Error_Param__3[[#This Row],[aperture shift (% actuator pitch)]]&gt;10,DM_Control_Error_Param__3[[#This Row],[log-amplitude variance ]]&gt;0.1)</f>
        <v>0</v>
      </c>
    </row>
    <row r="1164" spans="1:7" x14ac:dyDescent="0.25">
      <c r="A1164" s="1"/>
      <c r="D1164" s="1"/>
      <c r="G1164" t="b">
        <f>OR(DM_Control_Error_Param__3[[#This Row],[aperture shift (% actuator pitch)]]&gt;10,DM_Control_Error_Param__3[[#This Row],[log-amplitude variance ]]&gt;0.1)</f>
        <v>0</v>
      </c>
    </row>
    <row r="1165" spans="1:7" x14ac:dyDescent="0.25">
      <c r="A1165" s="1"/>
      <c r="D1165" s="1"/>
      <c r="G1165" t="b">
        <f>OR(DM_Control_Error_Param__3[[#This Row],[aperture shift (% actuator pitch)]]&gt;10,DM_Control_Error_Param__3[[#This Row],[log-amplitude variance ]]&gt;0.1)</f>
        <v>0</v>
      </c>
    </row>
    <row r="1166" spans="1:7" x14ac:dyDescent="0.25">
      <c r="A1166" s="1"/>
      <c r="D1166" s="1"/>
      <c r="G1166" t="b">
        <f>OR(DM_Control_Error_Param__3[[#This Row],[aperture shift (% actuator pitch)]]&gt;10,DM_Control_Error_Param__3[[#This Row],[log-amplitude variance ]]&gt;0.1)</f>
        <v>0</v>
      </c>
    </row>
    <row r="1167" spans="1:7" x14ac:dyDescent="0.25">
      <c r="A1167" s="1"/>
      <c r="D1167" s="1"/>
      <c r="G1167" t="b">
        <f>OR(DM_Control_Error_Param__3[[#This Row],[aperture shift (% actuator pitch)]]&gt;10,DM_Control_Error_Param__3[[#This Row],[log-amplitude variance ]]&gt;0.1)</f>
        <v>0</v>
      </c>
    </row>
    <row r="1168" spans="1:7" x14ac:dyDescent="0.25">
      <c r="A1168" s="1"/>
      <c r="D1168" s="1"/>
      <c r="G1168" t="b">
        <f>OR(DM_Control_Error_Param__3[[#This Row],[aperture shift (% actuator pitch)]]&gt;10,DM_Control_Error_Param__3[[#This Row],[log-amplitude variance ]]&gt;0.1)</f>
        <v>0</v>
      </c>
    </row>
    <row r="1169" spans="1:7" x14ac:dyDescent="0.25">
      <c r="A1169" s="1"/>
      <c r="D1169" s="1"/>
      <c r="G1169" t="b">
        <f>OR(DM_Control_Error_Param__3[[#This Row],[aperture shift (% actuator pitch)]]&gt;10,DM_Control_Error_Param__3[[#This Row],[log-amplitude variance ]]&gt;0.1)</f>
        <v>0</v>
      </c>
    </row>
    <row r="1170" spans="1:7" x14ac:dyDescent="0.25">
      <c r="A1170" s="1"/>
      <c r="D1170" s="1"/>
      <c r="G1170" t="b">
        <f>OR(DM_Control_Error_Param__3[[#This Row],[aperture shift (% actuator pitch)]]&gt;10,DM_Control_Error_Param__3[[#This Row],[log-amplitude variance ]]&gt;0.1)</f>
        <v>0</v>
      </c>
    </row>
    <row r="1171" spans="1:7" x14ac:dyDescent="0.25">
      <c r="A1171" s="1"/>
      <c r="D1171" s="1"/>
      <c r="G1171" t="b">
        <f>OR(DM_Control_Error_Param__3[[#This Row],[aperture shift (% actuator pitch)]]&gt;10,DM_Control_Error_Param__3[[#This Row],[log-amplitude variance ]]&gt;0.1)</f>
        <v>0</v>
      </c>
    </row>
    <row r="1172" spans="1:7" x14ac:dyDescent="0.25">
      <c r="A1172" s="1"/>
      <c r="D1172" s="1"/>
      <c r="G1172" t="b">
        <f>OR(DM_Control_Error_Param__3[[#This Row],[aperture shift (% actuator pitch)]]&gt;10,DM_Control_Error_Param__3[[#This Row],[log-amplitude variance ]]&gt;0.1)</f>
        <v>0</v>
      </c>
    </row>
    <row r="1173" spans="1:7" x14ac:dyDescent="0.25">
      <c r="A1173" s="1"/>
      <c r="D1173" s="1"/>
      <c r="G1173" t="b">
        <f>OR(DM_Control_Error_Param__3[[#This Row],[aperture shift (% actuator pitch)]]&gt;10,DM_Control_Error_Param__3[[#This Row],[log-amplitude variance ]]&gt;0.1)</f>
        <v>0</v>
      </c>
    </row>
    <row r="1174" spans="1:7" x14ac:dyDescent="0.25">
      <c r="A1174" s="1"/>
      <c r="D1174" s="1"/>
      <c r="G1174" t="b">
        <f>OR(DM_Control_Error_Param__3[[#This Row],[aperture shift (% actuator pitch)]]&gt;10,DM_Control_Error_Param__3[[#This Row],[log-amplitude variance ]]&gt;0.1)</f>
        <v>0</v>
      </c>
    </row>
    <row r="1175" spans="1:7" x14ac:dyDescent="0.25">
      <c r="A1175" s="1"/>
      <c r="D1175" s="1"/>
      <c r="G1175" t="b">
        <f>OR(DM_Control_Error_Param__3[[#This Row],[aperture shift (% actuator pitch)]]&gt;10,DM_Control_Error_Param__3[[#This Row],[log-amplitude variance ]]&gt;0.1)</f>
        <v>0</v>
      </c>
    </row>
    <row r="1176" spans="1:7" x14ac:dyDescent="0.25">
      <c r="A1176" s="1"/>
      <c r="D1176" s="1"/>
      <c r="G1176" t="b">
        <f>OR(DM_Control_Error_Param__3[[#This Row],[aperture shift (% actuator pitch)]]&gt;10,DM_Control_Error_Param__3[[#This Row],[log-amplitude variance ]]&gt;0.1)</f>
        <v>0</v>
      </c>
    </row>
    <row r="1177" spans="1:7" x14ac:dyDescent="0.25">
      <c r="A1177" s="1"/>
      <c r="D1177" s="1"/>
      <c r="G1177" t="b">
        <f>OR(DM_Control_Error_Param__3[[#This Row],[aperture shift (% actuator pitch)]]&gt;10,DM_Control_Error_Param__3[[#This Row],[log-amplitude variance ]]&gt;0.1)</f>
        <v>0</v>
      </c>
    </row>
    <row r="1178" spans="1:7" x14ac:dyDescent="0.25">
      <c r="A1178" s="1"/>
      <c r="D1178" s="1"/>
      <c r="G1178" t="b">
        <f>OR(DM_Control_Error_Param__3[[#This Row],[aperture shift (% actuator pitch)]]&gt;10,DM_Control_Error_Param__3[[#This Row],[log-amplitude variance ]]&gt;0.1)</f>
        <v>0</v>
      </c>
    </row>
    <row r="1179" spans="1:7" x14ac:dyDescent="0.25">
      <c r="A1179" s="1"/>
      <c r="D1179" s="1"/>
      <c r="G1179" t="b">
        <f>OR(DM_Control_Error_Param__3[[#This Row],[aperture shift (% actuator pitch)]]&gt;10,DM_Control_Error_Param__3[[#This Row],[log-amplitude variance ]]&gt;0.1)</f>
        <v>0</v>
      </c>
    </row>
    <row r="1180" spans="1:7" x14ac:dyDescent="0.25">
      <c r="A1180" s="1"/>
      <c r="D1180" s="1"/>
      <c r="G1180" t="b">
        <f>OR(DM_Control_Error_Param__3[[#This Row],[aperture shift (% actuator pitch)]]&gt;10,DM_Control_Error_Param__3[[#This Row],[log-amplitude variance ]]&gt;0.1)</f>
        <v>0</v>
      </c>
    </row>
    <row r="1181" spans="1:7" x14ac:dyDescent="0.25">
      <c r="A1181" s="1"/>
      <c r="D1181" s="1"/>
      <c r="G1181" t="b">
        <f>OR(DM_Control_Error_Param__3[[#This Row],[aperture shift (% actuator pitch)]]&gt;10,DM_Control_Error_Param__3[[#This Row],[log-amplitude variance ]]&gt;0.1)</f>
        <v>0</v>
      </c>
    </row>
    <row r="1182" spans="1:7" x14ac:dyDescent="0.25">
      <c r="A1182" s="1"/>
      <c r="D1182" s="1"/>
      <c r="G1182" t="b">
        <f>OR(DM_Control_Error_Param__3[[#This Row],[aperture shift (% actuator pitch)]]&gt;10,DM_Control_Error_Param__3[[#This Row],[log-amplitude variance ]]&gt;0.1)</f>
        <v>0</v>
      </c>
    </row>
    <row r="1183" spans="1:7" x14ac:dyDescent="0.25">
      <c r="A1183" s="1"/>
      <c r="D1183" s="1"/>
      <c r="G1183" t="b">
        <f>OR(DM_Control_Error_Param__3[[#This Row],[aperture shift (% actuator pitch)]]&gt;10,DM_Control_Error_Param__3[[#This Row],[log-amplitude variance ]]&gt;0.1)</f>
        <v>0</v>
      </c>
    </row>
    <row r="1184" spans="1:7" x14ac:dyDescent="0.25">
      <c r="A1184" s="1"/>
      <c r="D1184" s="1"/>
      <c r="G1184" t="b">
        <f>OR(DM_Control_Error_Param__3[[#This Row],[aperture shift (% actuator pitch)]]&gt;10,DM_Control_Error_Param__3[[#This Row],[log-amplitude variance ]]&gt;0.1)</f>
        <v>0</v>
      </c>
    </row>
    <row r="1185" spans="1:7" x14ac:dyDescent="0.25">
      <c r="A1185" s="1"/>
      <c r="D1185" s="1"/>
      <c r="G1185" t="b">
        <f>OR(DM_Control_Error_Param__3[[#This Row],[aperture shift (% actuator pitch)]]&gt;10,DM_Control_Error_Param__3[[#This Row],[log-amplitude variance ]]&gt;0.1)</f>
        <v>0</v>
      </c>
    </row>
    <row r="1186" spans="1:7" x14ac:dyDescent="0.25">
      <c r="A1186" s="1"/>
      <c r="D1186" s="1"/>
      <c r="G1186" t="b">
        <f>OR(DM_Control_Error_Param__3[[#This Row],[aperture shift (% actuator pitch)]]&gt;10,DM_Control_Error_Param__3[[#This Row],[log-amplitude variance ]]&gt;0.1)</f>
        <v>0</v>
      </c>
    </row>
    <row r="1187" spans="1:7" x14ac:dyDescent="0.25">
      <c r="A1187" s="1"/>
      <c r="D1187" s="1"/>
      <c r="G1187" t="b">
        <f>OR(DM_Control_Error_Param__3[[#This Row],[aperture shift (% actuator pitch)]]&gt;10,DM_Control_Error_Param__3[[#This Row],[log-amplitude variance ]]&gt;0.1)</f>
        <v>0</v>
      </c>
    </row>
    <row r="1188" spans="1:7" x14ac:dyDescent="0.25">
      <c r="A1188" s="1"/>
      <c r="D1188" s="1"/>
      <c r="G1188" t="b">
        <f>OR(DM_Control_Error_Param__3[[#This Row],[aperture shift (% actuator pitch)]]&gt;10,DM_Control_Error_Param__3[[#This Row],[log-amplitude variance ]]&gt;0.1)</f>
        <v>0</v>
      </c>
    </row>
    <row r="1189" spans="1:7" x14ac:dyDescent="0.25">
      <c r="A1189" s="1"/>
      <c r="D1189" s="1"/>
      <c r="G1189" t="b">
        <f>OR(DM_Control_Error_Param__3[[#This Row],[aperture shift (% actuator pitch)]]&gt;10,DM_Control_Error_Param__3[[#This Row],[log-amplitude variance ]]&gt;0.1)</f>
        <v>0</v>
      </c>
    </row>
    <row r="1190" spans="1:7" x14ac:dyDescent="0.25">
      <c r="A1190" s="1"/>
      <c r="D1190" s="1"/>
      <c r="G1190" t="b">
        <f>OR(DM_Control_Error_Param__3[[#This Row],[aperture shift (% actuator pitch)]]&gt;10,DM_Control_Error_Param__3[[#This Row],[log-amplitude variance ]]&gt;0.1)</f>
        <v>0</v>
      </c>
    </row>
    <row r="1191" spans="1:7" x14ac:dyDescent="0.25">
      <c r="A1191" s="1"/>
      <c r="D1191" s="1"/>
      <c r="G1191" t="b">
        <f>OR(DM_Control_Error_Param__3[[#This Row],[aperture shift (% actuator pitch)]]&gt;10,DM_Control_Error_Param__3[[#This Row],[log-amplitude variance ]]&gt;0.1)</f>
        <v>0</v>
      </c>
    </row>
    <row r="1192" spans="1:7" x14ac:dyDescent="0.25">
      <c r="A1192" s="1"/>
      <c r="D1192" s="1"/>
      <c r="G1192" t="b">
        <f>OR(DM_Control_Error_Param__3[[#This Row],[aperture shift (% actuator pitch)]]&gt;10,DM_Control_Error_Param__3[[#This Row],[log-amplitude variance ]]&gt;0.1)</f>
        <v>0</v>
      </c>
    </row>
    <row r="1193" spans="1:7" x14ac:dyDescent="0.25">
      <c r="A1193" s="1"/>
      <c r="D1193" s="1"/>
      <c r="G1193" t="b">
        <f>OR(DM_Control_Error_Param__3[[#This Row],[aperture shift (% actuator pitch)]]&gt;10,DM_Control_Error_Param__3[[#This Row],[log-amplitude variance ]]&gt;0.1)</f>
        <v>0</v>
      </c>
    </row>
    <row r="1194" spans="1:7" x14ac:dyDescent="0.25">
      <c r="A1194" s="1"/>
      <c r="D1194" s="1"/>
      <c r="G1194" t="b">
        <f>OR(DM_Control_Error_Param__3[[#This Row],[aperture shift (% actuator pitch)]]&gt;10,DM_Control_Error_Param__3[[#This Row],[log-amplitude variance ]]&gt;0.1)</f>
        <v>0</v>
      </c>
    </row>
    <row r="1195" spans="1:7" x14ac:dyDescent="0.25">
      <c r="A1195" s="1"/>
      <c r="D1195" s="1"/>
      <c r="G1195" t="b">
        <f>OR(DM_Control_Error_Param__3[[#This Row],[aperture shift (% actuator pitch)]]&gt;10,DM_Control_Error_Param__3[[#This Row],[log-amplitude variance ]]&gt;0.1)</f>
        <v>0</v>
      </c>
    </row>
    <row r="1196" spans="1:7" x14ac:dyDescent="0.25">
      <c r="A1196" s="1"/>
      <c r="D1196" s="1"/>
      <c r="G1196" t="b">
        <f>OR(DM_Control_Error_Param__3[[#This Row],[aperture shift (% actuator pitch)]]&gt;10,DM_Control_Error_Param__3[[#This Row],[log-amplitude variance ]]&gt;0.1)</f>
        <v>0</v>
      </c>
    </row>
    <row r="1197" spans="1:7" x14ac:dyDescent="0.25">
      <c r="A1197" s="1"/>
      <c r="D1197" s="1"/>
      <c r="G1197" t="b">
        <f>OR(DM_Control_Error_Param__3[[#This Row],[aperture shift (% actuator pitch)]]&gt;10,DM_Control_Error_Param__3[[#This Row],[log-amplitude variance ]]&gt;0.1)</f>
        <v>0</v>
      </c>
    </row>
    <row r="1198" spans="1:7" x14ac:dyDescent="0.25">
      <c r="A1198" s="1"/>
      <c r="D1198" s="1"/>
      <c r="G1198" t="b">
        <f>OR(DM_Control_Error_Param__3[[#This Row],[aperture shift (% actuator pitch)]]&gt;10,DM_Control_Error_Param__3[[#This Row],[log-amplitude variance ]]&gt;0.1)</f>
        <v>0</v>
      </c>
    </row>
    <row r="1199" spans="1:7" x14ac:dyDescent="0.25">
      <c r="A1199" s="1"/>
      <c r="D1199" s="1"/>
      <c r="G1199" t="b">
        <f>OR(DM_Control_Error_Param__3[[#This Row],[aperture shift (% actuator pitch)]]&gt;10,DM_Control_Error_Param__3[[#This Row],[log-amplitude variance ]]&gt;0.1)</f>
        <v>0</v>
      </c>
    </row>
    <row r="1200" spans="1:7" x14ac:dyDescent="0.25">
      <c r="A1200" s="1"/>
      <c r="D1200" s="1"/>
      <c r="G1200" t="b">
        <f>OR(DM_Control_Error_Param__3[[#This Row],[aperture shift (% actuator pitch)]]&gt;10,DM_Control_Error_Param__3[[#This Row],[log-amplitude variance ]]&gt;0.1)</f>
        <v>0</v>
      </c>
    </row>
    <row r="1201" spans="1:7" x14ac:dyDescent="0.25">
      <c r="A1201" s="1"/>
      <c r="D1201" s="1"/>
      <c r="G1201" t="b">
        <f>OR(DM_Control_Error_Param__3[[#This Row],[aperture shift (% actuator pitch)]]&gt;10,DM_Control_Error_Param__3[[#This Row],[log-amplitude variance ]]&gt;0.1)</f>
        <v>0</v>
      </c>
    </row>
    <row r="1202" spans="1:7" x14ac:dyDescent="0.25">
      <c r="A1202" s="1"/>
      <c r="D1202" s="1"/>
      <c r="G1202" t="b">
        <f>OR(DM_Control_Error_Param__3[[#This Row],[aperture shift (% actuator pitch)]]&gt;10,DM_Control_Error_Param__3[[#This Row],[log-amplitude variance ]]&gt;0.1)</f>
        <v>0</v>
      </c>
    </row>
    <row r="1203" spans="1:7" x14ac:dyDescent="0.25">
      <c r="A1203" s="1"/>
      <c r="D1203" s="1"/>
      <c r="G1203" t="b">
        <f>OR(DM_Control_Error_Param__3[[#This Row],[aperture shift (% actuator pitch)]]&gt;10,DM_Control_Error_Param__3[[#This Row],[log-amplitude variance ]]&gt;0.1)</f>
        <v>0</v>
      </c>
    </row>
    <row r="1204" spans="1:7" x14ac:dyDescent="0.25">
      <c r="A1204" s="1"/>
      <c r="D1204" s="1"/>
      <c r="G1204" t="b">
        <f>OR(DM_Control_Error_Param__3[[#This Row],[aperture shift (% actuator pitch)]]&gt;10,DM_Control_Error_Param__3[[#This Row],[log-amplitude variance ]]&gt;0.1)</f>
        <v>0</v>
      </c>
    </row>
    <row r="1205" spans="1:7" x14ac:dyDescent="0.25">
      <c r="A1205" s="1"/>
      <c r="D1205" s="1"/>
      <c r="G1205" t="b">
        <f>OR(DM_Control_Error_Param__3[[#This Row],[aperture shift (% actuator pitch)]]&gt;10,DM_Control_Error_Param__3[[#This Row],[log-amplitude variance ]]&gt;0.1)</f>
        <v>0</v>
      </c>
    </row>
    <row r="1206" spans="1:7" x14ac:dyDescent="0.25">
      <c r="A1206" s="1"/>
      <c r="D1206" s="1"/>
      <c r="G1206" t="b">
        <f>OR(DM_Control_Error_Param__3[[#This Row],[aperture shift (% actuator pitch)]]&gt;10,DM_Control_Error_Param__3[[#This Row],[log-amplitude variance ]]&gt;0.1)</f>
        <v>0</v>
      </c>
    </row>
    <row r="1207" spans="1:7" x14ac:dyDescent="0.25">
      <c r="A1207" s="1"/>
      <c r="D1207" s="1"/>
      <c r="G1207" t="b">
        <f>OR(DM_Control_Error_Param__3[[#This Row],[aperture shift (% actuator pitch)]]&gt;10,DM_Control_Error_Param__3[[#This Row],[log-amplitude variance ]]&gt;0.1)</f>
        <v>0</v>
      </c>
    </row>
    <row r="1208" spans="1:7" x14ac:dyDescent="0.25">
      <c r="A1208" s="1"/>
      <c r="D1208" s="1"/>
      <c r="G1208" t="b">
        <f>OR(DM_Control_Error_Param__3[[#This Row],[aperture shift (% actuator pitch)]]&gt;10,DM_Control_Error_Param__3[[#This Row],[log-amplitude variance ]]&gt;0.1)</f>
        <v>0</v>
      </c>
    </row>
    <row r="1209" spans="1:7" x14ac:dyDescent="0.25">
      <c r="A1209" s="1"/>
      <c r="D1209" s="1"/>
      <c r="G1209" t="b">
        <f>OR(DM_Control_Error_Param__3[[#This Row],[aperture shift (% actuator pitch)]]&gt;10,DM_Control_Error_Param__3[[#This Row],[log-amplitude variance ]]&gt;0.1)</f>
        <v>0</v>
      </c>
    </row>
    <row r="1210" spans="1:7" x14ac:dyDescent="0.25">
      <c r="A1210" s="1"/>
      <c r="D1210" s="1"/>
      <c r="G1210" t="b">
        <f>OR(DM_Control_Error_Param__3[[#This Row],[aperture shift (% actuator pitch)]]&gt;10,DM_Control_Error_Param__3[[#This Row],[log-amplitude variance ]]&gt;0.1)</f>
        <v>0</v>
      </c>
    </row>
    <row r="1211" spans="1:7" x14ac:dyDescent="0.25">
      <c r="A1211" s="1"/>
      <c r="D1211" s="1"/>
      <c r="G1211" t="b">
        <f>OR(DM_Control_Error_Param__3[[#This Row],[aperture shift (% actuator pitch)]]&gt;10,DM_Control_Error_Param__3[[#This Row],[log-amplitude variance ]]&gt;0.1)</f>
        <v>0</v>
      </c>
    </row>
    <row r="1212" spans="1:7" x14ac:dyDescent="0.25">
      <c r="A1212" s="1"/>
      <c r="D1212" s="1"/>
      <c r="G1212" t="b">
        <f>OR(DM_Control_Error_Param__3[[#This Row],[aperture shift (% actuator pitch)]]&gt;10,DM_Control_Error_Param__3[[#This Row],[log-amplitude variance ]]&gt;0.1)</f>
        <v>0</v>
      </c>
    </row>
    <row r="1213" spans="1:7" x14ac:dyDescent="0.25">
      <c r="A1213" s="1"/>
      <c r="D1213" s="1"/>
      <c r="G1213" t="b">
        <f>OR(DM_Control_Error_Param__3[[#This Row],[aperture shift (% actuator pitch)]]&gt;10,DM_Control_Error_Param__3[[#This Row],[log-amplitude variance ]]&gt;0.1)</f>
        <v>0</v>
      </c>
    </row>
    <row r="1214" spans="1:7" x14ac:dyDescent="0.25">
      <c r="A1214" s="1"/>
      <c r="D1214" s="1"/>
      <c r="G1214" t="b">
        <f>OR(DM_Control_Error_Param__3[[#This Row],[aperture shift (% actuator pitch)]]&gt;10,DM_Control_Error_Param__3[[#This Row],[log-amplitude variance ]]&gt;0.1)</f>
        <v>0</v>
      </c>
    </row>
    <row r="1215" spans="1:7" x14ac:dyDescent="0.25">
      <c r="A1215" s="1"/>
      <c r="D1215" s="1"/>
      <c r="G1215" t="b">
        <f>OR(DM_Control_Error_Param__3[[#This Row],[aperture shift (% actuator pitch)]]&gt;10,DM_Control_Error_Param__3[[#This Row],[log-amplitude variance ]]&gt;0.1)</f>
        <v>0</v>
      </c>
    </row>
    <row r="1216" spans="1:7" x14ac:dyDescent="0.25">
      <c r="A1216" s="1"/>
      <c r="D1216" s="1"/>
      <c r="G1216" t="b">
        <f>OR(DM_Control_Error_Param__3[[#This Row],[aperture shift (% actuator pitch)]]&gt;10,DM_Control_Error_Param__3[[#This Row],[log-amplitude variance ]]&gt;0.1)</f>
        <v>0</v>
      </c>
    </row>
    <row r="1217" spans="1:7" x14ac:dyDescent="0.25">
      <c r="A1217" s="1"/>
      <c r="D1217" s="1"/>
      <c r="G1217" t="b">
        <f>OR(DM_Control_Error_Param__3[[#This Row],[aperture shift (% actuator pitch)]]&gt;10,DM_Control_Error_Param__3[[#This Row],[log-amplitude variance ]]&gt;0.1)</f>
        <v>0</v>
      </c>
    </row>
    <row r="1218" spans="1:7" x14ac:dyDescent="0.25">
      <c r="A1218" s="1"/>
      <c r="D1218" s="1"/>
      <c r="G1218" t="b">
        <f>OR(DM_Control_Error_Param__3[[#This Row],[aperture shift (% actuator pitch)]]&gt;10,DM_Control_Error_Param__3[[#This Row],[log-amplitude variance ]]&gt;0.1)</f>
        <v>0</v>
      </c>
    </row>
    <row r="1219" spans="1:7" x14ac:dyDescent="0.25">
      <c r="A1219" s="1"/>
      <c r="D1219" s="1"/>
      <c r="G1219" t="b">
        <f>OR(DM_Control_Error_Param__3[[#This Row],[aperture shift (% actuator pitch)]]&gt;10,DM_Control_Error_Param__3[[#This Row],[log-amplitude variance ]]&gt;0.1)</f>
        <v>0</v>
      </c>
    </row>
    <row r="1220" spans="1:7" x14ac:dyDescent="0.25">
      <c r="A1220" s="1"/>
      <c r="D1220" s="1"/>
      <c r="G1220" t="b">
        <f>OR(DM_Control_Error_Param__3[[#This Row],[aperture shift (% actuator pitch)]]&gt;10,DM_Control_Error_Param__3[[#This Row],[log-amplitude variance ]]&gt;0.1)</f>
        <v>0</v>
      </c>
    </row>
    <row r="1221" spans="1:7" x14ac:dyDescent="0.25">
      <c r="A1221" s="1"/>
      <c r="D1221" s="1"/>
      <c r="G1221" t="b">
        <f>OR(DM_Control_Error_Param__3[[#This Row],[aperture shift (% actuator pitch)]]&gt;10,DM_Control_Error_Param__3[[#This Row],[log-amplitude variance ]]&gt;0.1)</f>
        <v>0</v>
      </c>
    </row>
    <row r="1222" spans="1:7" x14ac:dyDescent="0.25">
      <c r="A1222" s="1"/>
      <c r="D1222" s="1"/>
      <c r="G1222" t="b">
        <f>OR(DM_Control_Error_Param__3[[#This Row],[aperture shift (% actuator pitch)]]&gt;10,DM_Control_Error_Param__3[[#This Row],[log-amplitude variance ]]&gt;0.1)</f>
        <v>0</v>
      </c>
    </row>
    <row r="1223" spans="1:7" x14ac:dyDescent="0.25">
      <c r="A1223" s="1"/>
      <c r="D1223" s="1"/>
      <c r="G1223" t="b">
        <f>OR(DM_Control_Error_Param__3[[#This Row],[aperture shift (% actuator pitch)]]&gt;10,DM_Control_Error_Param__3[[#This Row],[log-amplitude variance ]]&gt;0.1)</f>
        <v>0</v>
      </c>
    </row>
    <row r="1224" spans="1:7" x14ac:dyDescent="0.25">
      <c r="A1224" s="1"/>
      <c r="D1224" s="1"/>
      <c r="G1224" t="b">
        <f>OR(DM_Control_Error_Param__3[[#This Row],[aperture shift (% actuator pitch)]]&gt;10,DM_Control_Error_Param__3[[#This Row],[log-amplitude variance ]]&gt;0.1)</f>
        <v>0</v>
      </c>
    </row>
    <row r="1225" spans="1:7" x14ac:dyDescent="0.25">
      <c r="A1225" s="1"/>
      <c r="D1225" s="1"/>
      <c r="G1225" t="b">
        <f>OR(DM_Control_Error_Param__3[[#This Row],[aperture shift (% actuator pitch)]]&gt;10,DM_Control_Error_Param__3[[#This Row],[log-amplitude variance ]]&gt;0.1)</f>
        <v>0</v>
      </c>
    </row>
    <row r="1226" spans="1:7" x14ac:dyDescent="0.25">
      <c r="A1226" s="1"/>
      <c r="D1226" s="1"/>
      <c r="G1226" t="b">
        <f>OR(DM_Control_Error_Param__3[[#This Row],[aperture shift (% actuator pitch)]]&gt;10,DM_Control_Error_Param__3[[#This Row],[log-amplitude variance ]]&gt;0.1)</f>
        <v>0</v>
      </c>
    </row>
    <row r="1227" spans="1:7" x14ac:dyDescent="0.25">
      <c r="A1227" s="1"/>
      <c r="D1227" s="1"/>
      <c r="G1227" t="b">
        <f>OR(DM_Control_Error_Param__3[[#This Row],[aperture shift (% actuator pitch)]]&gt;10,DM_Control_Error_Param__3[[#This Row],[log-amplitude variance ]]&gt;0.1)</f>
        <v>0</v>
      </c>
    </row>
    <row r="1228" spans="1:7" x14ac:dyDescent="0.25">
      <c r="A1228" s="1"/>
      <c r="D1228" s="1"/>
      <c r="G1228" t="b">
        <f>OR(DM_Control_Error_Param__3[[#This Row],[aperture shift (% actuator pitch)]]&gt;10,DM_Control_Error_Param__3[[#This Row],[log-amplitude variance ]]&gt;0.1)</f>
        <v>0</v>
      </c>
    </row>
    <row r="1229" spans="1:7" x14ac:dyDescent="0.25">
      <c r="A1229" s="1"/>
      <c r="D1229" s="1"/>
      <c r="G1229" t="b">
        <f>OR(DM_Control_Error_Param__3[[#This Row],[aperture shift (% actuator pitch)]]&gt;10,DM_Control_Error_Param__3[[#This Row],[log-amplitude variance ]]&gt;0.1)</f>
        <v>0</v>
      </c>
    </row>
    <row r="1230" spans="1:7" x14ac:dyDescent="0.25">
      <c r="A1230" s="1"/>
      <c r="D1230" s="1"/>
      <c r="G1230" t="b">
        <f>OR(DM_Control_Error_Param__3[[#This Row],[aperture shift (% actuator pitch)]]&gt;10,DM_Control_Error_Param__3[[#This Row],[log-amplitude variance ]]&gt;0.1)</f>
        <v>0</v>
      </c>
    </row>
    <row r="1231" spans="1:7" x14ac:dyDescent="0.25">
      <c r="A1231" s="1"/>
      <c r="D1231" s="1"/>
      <c r="G1231" t="b">
        <f>OR(DM_Control_Error_Param__3[[#This Row],[aperture shift (% actuator pitch)]]&gt;10,DM_Control_Error_Param__3[[#This Row],[log-amplitude variance ]]&gt;0.1)</f>
        <v>0</v>
      </c>
    </row>
    <row r="1232" spans="1:7" x14ac:dyDescent="0.25">
      <c r="A1232" s="1"/>
      <c r="D1232" s="1"/>
      <c r="G1232" t="b">
        <f>OR(DM_Control_Error_Param__3[[#This Row],[aperture shift (% actuator pitch)]]&gt;10,DM_Control_Error_Param__3[[#This Row],[log-amplitude variance ]]&gt;0.1)</f>
        <v>0</v>
      </c>
    </row>
    <row r="1233" spans="1:7" x14ac:dyDescent="0.25">
      <c r="A1233" s="1"/>
      <c r="D1233" s="1"/>
      <c r="G1233" t="b">
        <f>OR(DM_Control_Error_Param__3[[#This Row],[aperture shift (% actuator pitch)]]&gt;10,DM_Control_Error_Param__3[[#This Row],[log-amplitude variance ]]&gt;0.1)</f>
        <v>0</v>
      </c>
    </row>
    <row r="1234" spans="1:7" x14ac:dyDescent="0.25">
      <c r="A1234" s="1"/>
      <c r="D1234" s="1"/>
      <c r="G1234" t="b">
        <f>OR(DM_Control_Error_Param__3[[#This Row],[aperture shift (% actuator pitch)]]&gt;10,DM_Control_Error_Param__3[[#This Row],[log-amplitude variance ]]&gt;0.1)</f>
        <v>0</v>
      </c>
    </row>
    <row r="1235" spans="1:7" x14ac:dyDescent="0.25">
      <c r="A1235" s="1"/>
      <c r="D1235" s="1"/>
      <c r="G1235" t="b">
        <f>OR(DM_Control_Error_Param__3[[#This Row],[aperture shift (% actuator pitch)]]&gt;10,DM_Control_Error_Param__3[[#This Row],[log-amplitude variance ]]&gt;0.1)</f>
        <v>0</v>
      </c>
    </row>
    <row r="1236" spans="1:7" x14ac:dyDescent="0.25">
      <c r="A1236" s="1"/>
      <c r="D1236" s="1"/>
      <c r="G1236" t="b">
        <f>OR(DM_Control_Error_Param__3[[#This Row],[aperture shift (% actuator pitch)]]&gt;10,DM_Control_Error_Param__3[[#This Row],[log-amplitude variance ]]&gt;0.1)</f>
        <v>0</v>
      </c>
    </row>
    <row r="1237" spans="1:7" x14ac:dyDescent="0.25">
      <c r="A1237" s="1"/>
      <c r="D1237" s="1"/>
      <c r="G1237" t="b">
        <f>OR(DM_Control_Error_Param__3[[#This Row],[aperture shift (% actuator pitch)]]&gt;10,DM_Control_Error_Param__3[[#This Row],[log-amplitude variance ]]&gt;0.1)</f>
        <v>0</v>
      </c>
    </row>
    <row r="1238" spans="1:7" x14ac:dyDescent="0.25">
      <c r="A1238" s="1"/>
      <c r="D1238" s="1"/>
      <c r="G1238" t="b">
        <f>OR(DM_Control_Error_Param__3[[#This Row],[aperture shift (% actuator pitch)]]&gt;10,DM_Control_Error_Param__3[[#This Row],[log-amplitude variance ]]&gt;0.1)</f>
        <v>0</v>
      </c>
    </row>
    <row r="1239" spans="1:7" x14ac:dyDescent="0.25">
      <c r="A1239" s="1"/>
      <c r="D1239" s="1"/>
      <c r="G1239" t="b">
        <f>OR(DM_Control_Error_Param__3[[#This Row],[aperture shift (% actuator pitch)]]&gt;10,DM_Control_Error_Param__3[[#This Row],[log-amplitude variance ]]&gt;0.1)</f>
        <v>0</v>
      </c>
    </row>
    <row r="1240" spans="1:7" x14ac:dyDescent="0.25">
      <c r="A1240" s="1"/>
      <c r="D1240" s="1"/>
      <c r="G1240" t="b">
        <f>OR(DM_Control_Error_Param__3[[#This Row],[aperture shift (% actuator pitch)]]&gt;10,DM_Control_Error_Param__3[[#This Row],[log-amplitude variance ]]&gt;0.1)</f>
        <v>0</v>
      </c>
    </row>
    <row r="1241" spans="1:7" x14ac:dyDescent="0.25">
      <c r="A1241" s="1"/>
      <c r="D1241" s="1"/>
      <c r="G1241" t="b">
        <f>OR(DM_Control_Error_Param__3[[#This Row],[aperture shift (% actuator pitch)]]&gt;10,DM_Control_Error_Param__3[[#This Row],[log-amplitude variance ]]&gt;0.1)</f>
        <v>0</v>
      </c>
    </row>
    <row r="1242" spans="1:7" x14ac:dyDescent="0.25">
      <c r="A1242" s="1"/>
      <c r="D1242" s="1"/>
      <c r="G1242" t="b">
        <f>OR(DM_Control_Error_Param__3[[#This Row],[aperture shift (% actuator pitch)]]&gt;10,DM_Control_Error_Param__3[[#This Row],[log-amplitude variance ]]&gt;0.1)</f>
        <v>0</v>
      </c>
    </row>
    <row r="1243" spans="1:7" x14ac:dyDescent="0.25">
      <c r="A1243" s="1"/>
      <c r="D1243" s="1"/>
      <c r="G1243" t="b">
        <f>OR(DM_Control_Error_Param__3[[#This Row],[aperture shift (% actuator pitch)]]&gt;10,DM_Control_Error_Param__3[[#This Row],[log-amplitude variance ]]&gt;0.1)</f>
        <v>0</v>
      </c>
    </row>
    <row r="1244" spans="1:7" x14ac:dyDescent="0.25">
      <c r="A1244" s="1"/>
      <c r="D1244" s="1"/>
      <c r="G1244" t="b">
        <f>OR(DM_Control_Error_Param__3[[#This Row],[aperture shift (% actuator pitch)]]&gt;10,DM_Control_Error_Param__3[[#This Row],[log-amplitude variance ]]&gt;0.1)</f>
        <v>0</v>
      </c>
    </row>
    <row r="1245" spans="1:7" x14ac:dyDescent="0.25">
      <c r="A1245" s="1"/>
      <c r="D1245" s="1"/>
      <c r="G1245" t="b">
        <f>OR(DM_Control_Error_Param__3[[#This Row],[aperture shift (% actuator pitch)]]&gt;10,DM_Control_Error_Param__3[[#This Row],[log-amplitude variance ]]&gt;0.1)</f>
        <v>0</v>
      </c>
    </row>
    <row r="1246" spans="1:7" x14ac:dyDescent="0.25">
      <c r="A1246" s="1"/>
      <c r="D1246" s="1"/>
      <c r="G1246" t="b">
        <f>OR(DM_Control_Error_Param__3[[#This Row],[aperture shift (% actuator pitch)]]&gt;10,DM_Control_Error_Param__3[[#This Row],[log-amplitude variance ]]&gt;0.1)</f>
        <v>0</v>
      </c>
    </row>
    <row r="1247" spans="1:7" x14ac:dyDescent="0.25">
      <c r="A1247" s="1"/>
      <c r="D1247" s="1"/>
      <c r="G1247" t="b">
        <f>OR(DM_Control_Error_Param__3[[#This Row],[aperture shift (% actuator pitch)]]&gt;10,DM_Control_Error_Param__3[[#This Row],[log-amplitude variance ]]&gt;0.1)</f>
        <v>0</v>
      </c>
    </row>
    <row r="1248" spans="1:7" x14ac:dyDescent="0.25">
      <c r="A1248" s="1"/>
      <c r="D1248" s="1"/>
      <c r="G1248" t="b">
        <f>OR(DM_Control_Error_Param__3[[#This Row],[aperture shift (% actuator pitch)]]&gt;10,DM_Control_Error_Param__3[[#This Row],[log-amplitude variance ]]&gt;0.1)</f>
        <v>0</v>
      </c>
    </row>
    <row r="1249" spans="1:7" x14ac:dyDescent="0.25">
      <c r="A1249" s="1"/>
      <c r="D1249" s="1"/>
      <c r="G1249" t="b">
        <f>OR(DM_Control_Error_Param__3[[#This Row],[aperture shift (% actuator pitch)]]&gt;10,DM_Control_Error_Param__3[[#This Row],[log-amplitude variance ]]&gt;0.1)</f>
        <v>0</v>
      </c>
    </row>
    <row r="1250" spans="1:7" x14ac:dyDescent="0.25">
      <c r="A1250" s="1"/>
      <c r="D1250" s="1"/>
      <c r="G1250" t="b">
        <f>OR(DM_Control_Error_Param__3[[#This Row],[aperture shift (% actuator pitch)]]&gt;10,DM_Control_Error_Param__3[[#This Row],[log-amplitude variance ]]&gt;0.1)</f>
        <v>0</v>
      </c>
    </row>
    <row r="1251" spans="1:7" x14ac:dyDescent="0.25">
      <c r="A1251" s="1"/>
      <c r="D1251" s="1"/>
      <c r="G1251" t="b">
        <f>OR(DM_Control_Error_Param__3[[#This Row],[aperture shift (% actuator pitch)]]&gt;10,DM_Control_Error_Param__3[[#This Row],[log-amplitude variance ]]&gt;0.1)</f>
        <v>0</v>
      </c>
    </row>
    <row r="1252" spans="1:7" x14ac:dyDescent="0.25">
      <c r="A1252" s="1"/>
      <c r="D1252" s="1"/>
      <c r="G1252" t="b">
        <f>OR(DM_Control_Error_Param__3[[#This Row],[aperture shift (% actuator pitch)]]&gt;10,DM_Control_Error_Param__3[[#This Row],[log-amplitude variance ]]&gt;0.1)</f>
        <v>0</v>
      </c>
    </row>
    <row r="1253" spans="1:7" x14ac:dyDescent="0.25">
      <c r="A1253" s="1"/>
      <c r="D1253" s="1"/>
      <c r="G1253" t="b">
        <f>OR(DM_Control_Error_Param__3[[#This Row],[aperture shift (% actuator pitch)]]&gt;10,DM_Control_Error_Param__3[[#This Row],[log-amplitude variance ]]&gt;0.1)</f>
        <v>0</v>
      </c>
    </row>
    <row r="1254" spans="1:7" x14ac:dyDescent="0.25">
      <c r="A1254" s="1"/>
      <c r="D1254" s="1"/>
      <c r="G1254" t="b">
        <f>OR(DM_Control_Error_Param__3[[#This Row],[aperture shift (% actuator pitch)]]&gt;10,DM_Control_Error_Param__3[[#This Row],[log-amplitude variance ]]&gt;0.1)</f>
        <v>0</v>
      </c>
    </row>
    <row r="1255" spans="1:7" x14ac:dyDescent="0.25">
      <c r="A1255" s="1"/>
      <c r="D1255" s="1"/>
      <c r="G1255" t="b">
        <f>OR(DM_Control_Error_Param__3[[#This Row],[aperture shift (% actuator pitch)]]&gt;10,DM_Control_Error_Param__3[[#This Row],[log-amplitude variance ]]&gt;0.1)</f>
        <v>0</v>
      </c>
    </row>
    <row r="1256" spans="1:7" x14ac:dyDescent="0.25">
      <c r="A1256" s="1"/>
      <c r="D1256" s="1"/>
      <c r="G1256" t="b">
        <f>OR(DM_Control_Error_Param__3[[#This Row],[aperture shift (% actuator pitch)]]&gt;10,DM_Control_Error_Param__3[[#This Row],[log-amplitude variance ]]&gt;0.1)</f>
        <v>0</v>
      </c>
    </row>
    <row r="1257" spans="1:7" x14ac:dyDescent="0.25">
      <c r="A1257" s="1"/>
      <c r="D1257" s="1"/>
      <c r="G1257" t="b">
        <f>OR(DM_Control_Error_Param__3[[#This Row],[aperture shift (% actuator pitch)]]&gt;10,DM_Control_Error_Param__3[[#This Row],[log-amplitude variance ]]&gt;0.1)</f>
        <v>0</v>
      </c>
    </row>
    <row r="1258" spans="1:7" x14ac:dyDescent="0.25">
      <c r="A1258" s="1"/>
      <c r="D1258" s="1"/>
      <c r="G1258" t="b">
        <f>OR(DM_Control_Error_Param__3[[#This Row],[aperture shift (% actuator pitch)]]&gt;10,DM_Control_Error_Param__3[[#This Row],[log-amplitude variance ]]&gt;0.1)</f>
        <v>0</v>
      </c>
    </row>
    <row r="1259" spans="1:7" x14ac:dyDescent="0.25">
      <c r="A1259" s="1"/>
      <c r="D1259" s="1"/>
      <c r="G1259" t="b">
        <f>OR(DM_Control_Error_Param__3[[#This Row],[aperture shift (% actuator pitch)]]&gt;10,DM_Control_Error_Param__3[[#This Row],[log-amplitude variance ]]&gt;0.1)</f>
        <v>0</v>
      </c>
    </row>
    <row r="1260" spans="1:7" x14ac:dyDescent="0.25">
      <c r="A1260" s="1"/>
      <c r="D1260" s="1"/>
      <c r="G1260" t="b">
        <f>OR(DM_Control_Error_Param__3[[#This Row],[aperture shift (% actuator pitch)]]&gt;10,DM_Control_Error_Param__3[[#This Row],[log-amplitude variance ]]&gt;0.1)</f>
        <v>0</v>
      </c>
    </row>
    <row r="1261" spans="1:7" x14ac:dyDescent="0.25">
      <c r="A1261" s="1"/>
      <c r="D1261" s="1"/>
      <c r="G1261" t="b">
        <f>OR(DM_Control_Error_Param__3[[#This Row],[aperture shift (% actuator pitch)]]&gt;10,DM_Control_Error_Param__3[[#This Row],[log-amplitude variance ]]&gt;0.1)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6F5F-6C07-4AED-A555-5ACB6C648DAE}">
  <dimension ref="A1:F50"/>
  <sheetViews>
    <sheetView workbookViewId="0">
      <selection activeCell="F17" sqref="F17"/>
    </sheetView>
  </sheetViews>
  <sheetFormatPr defaultRowHeight="15" x14ac:dyDescent="0.25"/>
  <cols>
    <col min="1" max="1" width="8.7109375" bestFit="1" customWidth="1"/>
    <col min="2" max="2" width="7.140625" bestFit="1" customWidth="1"/>
    <col min="3" max="3" width="9.85546875" bestFit="1" customWidth="1"/>
    <col min="4" max="4" width="14.7109375" bestFit="1" customWidth="1"/>
    <col min="5" max="5" width="29.85546875" bestFit="1" customWidth="1"/>
    <col min="6" max="6" width="22.28515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8" t="s">
        <v>6</v>
      </c>
      <c r="B2" s="5">
        <v>2</v>
      </c>
      <c r="C2" s="5">
        <v>80</v>
      </c>
      <c r="D2" s="9" t="s">
        <v>9</v>
      </c>
      <c r="E2" s="5">
        <v>2.8</v>
      </c>
      <c r="F2" s="5">
        <v>0.18</v>
      </c>
    </row>
    <row r="3" spans="1:6" x14ac:dyDescent="0.25">
      <c r="A3" s="8" t="s">
        <v>10</v>
      </c>
      <c r="B3" s="5">
        <v>2</v>
      </c>
      <c r="C3" s="5">
        <v>80</v>
      </c>
      <c r="D3" s="9" t="s">
        <v>7</v>
      </c>
      <c r="E3" s="5">
        <v>30.5</v>
      </c>
      <c r="F3" s="5">
        <v>0.71199999999999997</v>
      </c>
    </row>
    <row r="4" spans="1:6" x14ac:dyDescent="0.25">
      <c r="A4" s="8" t="s">
        <v>10</v>
      </c>
      <c r="B4" s="5">
        <v>2</v>
      </c>
      <c r="C4" s="5">
        <v>80</v>
      </c>
      <c r="D4" s="9" t="s">
        <v>12</v>
      </c>
      <c r="E4" s="5">
        <v>2.1</v>
      </c>
      <c r="F4" s="5">
        <v>0.19900000000000001</v>
      </c>
    </row>
    <row r="5" spans="1:6" x14ac:dyDescent="0.25">
      <c r="A5" s="8" t="s">
        <v>10</v>
      </c>
      <c r="B5" s="5">
        <v>2</v>
      </c>
      <c r="C5" s="5">
        <v>80</v>
      </c>
      <c r="D5" s="9" t="s">
        <v>13</v>
      </c>
      <c r="E5" s="5">
        <v>4.5999999999999996</v>
      </c>
      <c r="F5" s="5">
        <v>0.36299999999999999</v>
      </c>
    </row>
    <row r="6" spans="1:6" x14ac:dyDescent="0.25">
      <c r="A6" s="6" t="s">
        <v>10</v>
      </c>
      <c r="B6" s="4">
        <v>2</v>
      </c>
      <c r="C6" s="4">
        <v>80</v>
      </c>
      <c r="D6" s="7" t="s">
        <v>14</v>
      </c>
      <c r="E6" s="4">
        <v>5</v>
      </c>
      <c r="F6" s="4">
        <v>0.504</v>
      </c>
    </row>
    <row r="7" spans="1:6" x14ac:dyDescent="0.25">
      <c r="A7" s="6" t="s">
        <v>10</v>
      </c>
      <c r="B7" s="4">
        <v>2</v>
      </c>
      <c r="C7" s="4">
        <v>70</v>
      </c>
      <c r="D7" s="7" t="s">
        <v>7</v>
      </c>
      <c r="E7" s="4">
        <v>20.8</v>
      </c>
      <c r="F7" s="4">
        <v>0.33</v>
      </c>
    </row>
    <row r="8" spans="1:6" x14ac:dyDescent="0.25">
      <c r="A8" s="6" t="s">
        <v>10</v>
      </c>
      <c r="B8" s="4">
        <v>2</v>
      </c>
      <c r="C8" s="4">
        <v>70</v>
      </c>
      <c r="D8" s="7" t="s">
        <v>13</v>
      </c>
      <c r="E8" s="4">
        <v>3.2</v>
      </c>
      <c r="F8" s="4">
        <v>0.17</v>
      </c>
    </row>
    <row r="9" spans="1:6" x14ac:dyDescent="0.25">
      <c r="A9" s="8" t="s">
        <v>10</v>
      </c>
      <c r="B9" s="5">
        <v>2</v>
      </c>
      <c r="C9" s="5">
        <v>70</v>
      </c>
      <c r="D9" s="9" t="s">
        <v>14</v>
      </c>
      <c r="E9" s="5">
        <v>3.4</v>
      </c>
      <c r="F9" s="5">
        <v>0.23100000000000001</v>
      </c>
    </row>
    <row r="10" spans="1:6" x14ac:dyDescent="0.25">
      <c r="A10" s="8" t="s">
        <v>10</v>
      </c>
      <c r="B10" s="5">
        <v>2</v>
      </c>
      <c r="C10" s="5">
        <v>60</v>
      </c>
      <c r="D10" s="9" t="s">
        <v>7</v>
      </c>
      <c r="E10" s="5">
        <v>19</v>
      </c>
      <c r="F10" s="5">
        <v>0.25600000000000001</v>
      </c>
    </row>
    <row r="11" spans="1:6" x14ac:dyDescent="0.25">
      <c r="A11" s="8" t="s">
        <v>10</v>
      </c>
      <c r="B11" s="5">
        <v>2</v>
      </c>
      <c r="C11" s="5">
        <v>60</v>
      </c>
      <c r="D11" s="9" t="s">
        <v>13</v>
      </c>
      <c r="E11" s="5">
        <v>2.5</v>
      </c>
      <c r="F11" s="5">
        <v>0.105</v>
      </c>
    </row>
    <row r="12" spans="1:6" x14ac:dyDescent="0.25">
      <c r="A12" s="6" t="s">
        <v>10</v>
      </c>
      <c r="B12" s="4">
        <v>2</v>
      </c>
      <c r="C12" s="4">
        <v>60</v>
      </c>
      <c r="D12" s="7" t="s">
        <v>14</v>
      </c>
      <c r="E12" s="4">
        <v>2.7</v>
      </c>
      <c r="F12" s="4">
        <v>0.14899999999999999</v>
      </c>
    </row>
    <row r="13" spans="1:6" x14ac:dyDescent="0.25">
      <c r="A13" s="6" t="s">
        <v>10</v>
      </c>
      <c r="B13" s="4">
        <v>2</v>
      </c>
      <c r="C13" s="4">
        <v>45</v>
      </c>
      <c r="D13" s="7" t="s">
        <v>7</v>
      </c>
      <c r="E13" s="4">
        <v>20.3</v>
      </c>
      <c r="F13" s="4">
        <v>0.26800000000000002</v>
      </c>
    </row>
    <row r="14" spans="1:6" x14ac:dyDescent="0.25">
      <c r="A14" s="8" t="s">
        <v>10</v>
      </c>
      <c r="B14" s="5">
        <v>2</v>
      </c>
      <c r="C14" s="5">
        <v>45</v>
      </c>
      <c r="D14" s="9" t="s">
        <v>14</v>
      </c>
      <c r="E14" s="5">
        <v>2.4</v>
      </c>
      <c r="F14" s="5">
        <v>0.107</v>
      </c>
    </row>
    <row r="15" spans="1:6" x14ac:dyDescent="0.25">
      <c r="A15" s="8" t="s">
        <v>10</v>
      </c>
      <c r="B15" s="5">
        <v>2</v>
      </c>
      <c r="C15" s="5">
        <v>30</v>
      </c>
      <c r="D15" s="9" t="s">
        <v>7</v>
      </c>
      <c r="E15" s="5">
        <v>14.6</v>
      </c>
      <c r="F15" s="5">
        <v>0.153</v>
      </c>
    </row>
    <row r="16" spans="1:6" x14ac:dyDescent="0.25">
      <c r="A16" s="6" t="s">
        <v>10</v>
      </c>
      <c r="B16" s="4">
        <v>2</v>
      </c>
      <c r="C16" s="4">
        <v>30</v>
      </c>
      <c r="D16" s="7" t="s">
        <v>14</v>
      </c>
      <c r="E16" s="4">
        <v>2.4</v>
      </c>
      <c r="F16" s="4">
        <v>0.104</v>
      </c>
    </row>
    <row r="17" spans="1:6" x14ac:dyDescent="0.25">
      <c r="A17" s="6" t="s">
        <v>10</v>
      </c>
      <c r="B17" s="4">
        <v>2</v>
      </c>
      <c r="C17" s="4">
        <v>0</v>
      </c>
      <c r="D17" s="7" t="s">
        <v>7</v>
      </c>
      <c r="E17" s="4">
        <v>12.8</v>
      </c>
      <c r="F17" s="4">
        <v>0.14399999999999999</v>
      </c>
    </row>
    <row r="18" spans="1:6" x14ac:dyDescent="0.25">
      <c r="A18" s="8" t="s">
        <v>10</v>
      </c>
      <c r="B18" s="5">
        <v>2</v>
      </c>
      <c r="C18" s="5">
        <v>0</v>
      </c>
      <c r="D18" s="9" t="s">
        <v>14</v>
      </c>
      <c r="E18" s="5">
        <v>2.8</v>
      </c>
      <c r="F18" s="5">
        <v>0.13500000000000001</v>
      </c>
    </row>
    <row r="19" spans="1:6" x14ac:dyDescent="0.25">
      <c r="A19" s="8" t="s">
        <v>10</v>
      </c>
      <c r="B19" s="5">
        <v>3</v>
      </c>
      <c r="C19" s="5">
        <v>80</v>
      </c>
      <c r="D19" s="9" t="s">
        <v>7</v>
      </c>
      <c r="E19" s="5">
        <v>21.8</v>
      </c>
      <c r="F19" s="5">
        <v>0.36199999999999999</v>
      </c>
    </row>
    <row r="20" spans="1:6" x14ac:dyDescent="0.25">
      <c r="A20" s="6" t="s">
        <v>10</v>
      </c>
      <c r="B20" s="4">
        <v>3</v>
      </c>
      <c r="C20" s="4">
        <v>80</v>
      </c>
      <c r="D20" s="7" t="s">
        <v>12</v>
      </c>
      <c r="E20" s="4">
        <v>1.5</v>
      </c>
      <c r="F20" s="4">
        <v>0.10100000000000001</v>
      </c>
    </row>
    <row r="21" spans="1:6" x14ac:dyDescent="0.25">
      <c r="A21" s="6" t="s">
        <v>10</v>
      </c>
      <c r="B21" s="4">
        <v>3</v>
      </c>
      <c r="C21" s="4">
        <v>80</v>
      </c>
      <c r="D21" s="7" t="s">
        <v>13</v>
      </c>
      <c r="E21" s="4">
        <v>3.3</v>
      </c>
      <c r="F21" s="4">
        <v>0.185</v>
      </c>
    </row>
    <row r="22" spans="1:6" x14ac:dyDescent="0.25">
      <c r="A22" s="6" t="s">
        <v>10</v>
      </c>
      <c r="B22" s="4">
        <v>3</v>
      </c>
      <c r="C22" s="4">
        <v>80</v>
      </c>
      <c r="D22" s="7" t="s">
        <v>14</v>
      </c>
      <c r="E22" s="4">
        <v>3.6</v>
      </c>
      <c r="F22" s="4">
        <v>0.25600000000000001</v>
      </c>
    </row>
    <row r="23" spans="1:6" x14ac:dyDescent="0.25">
      <c r="A23" s="6" t="s">
        <v>10</v>
      </c>
      <c r="B23" s="4">
        <v>3</v>
      </c>
      <c r="C23" s="4">
        <v>70</v>
      </c>
      <c r="D23" s="7" t="s">
        <v>7</v>
      </c>
      <c r="E23" s="4">
        <v>14.8</v>
      </c>
      <c r="F23" s="4">
        <v>0.16800000000000001</v>
      </c>
    </row>
    <row r="24" spans="1:6" x14ac:dyDescent="0.25">
      <c r="A24" s="8" t="s">
        <v>10</v>
      </c>
      <c r="B24" s="5">
        <v>3</v>
      </c>
      <c r="C24" s="5">
        <v>70</v>
      </c>
      <c r="D24" s="9" t="s">
        <v>14</v>
      </c>
      <c r="E24" s="5">
        <v>2.4</v>
      </c>
      <c r="F24" s="5">
        <v>0.11700000000000001</v>
      </c>
    </row>
    <row r="25" spans="1:6" x14ac:dyDescent="0.25">
      <c r="A25" s="8" t="s">
        <v>10</v>
      </c>
      <c r="B25" s="5">
        <v>3</v>
      </c>
      <c r="C25" s="5">
        <v>60</v>
      </c>
      <c r="D25" s="9" t="s">
        <v>7</v>
      </c>
      <c r="E25" s="5">
        <v>13.6</v>
      </c>
      <c r="F25" s="5">
        <v>0.13</v>
      </c>
    </row>
    <row r="26" spans="1:6" x14ac:dyDescent="0.25">
      <c r="A26" s="6" t="s">
        <v>10</v>
      </c>
      <c r="B26" s="4">
        <v>3</v>
      </c>
      <c r="C26" s="4">
        <v>45</v>
      </c>
      <c r="D26" s="7" t="s">
        <v>7</v>
      </c>
      <c r="E26" s="4">
        <v>14.5</v>
      </c>
      <c r="F26" s="4">
        <v>0.13600000000000001</v>
      </c>
    </row>
    <row r="27" spans="1:6" x14ac:dyDescent="0.25">
      <c r="A27" s="8" t="s">
        <v>10</v>
      </c>
      <c r="B27" s="5">
        <v>3</v>
      </c>
      <c r="C27" s="5">
        <v>30</v>
      </c>
      <c r="D27" s="9" t="s">
        <v>7</v>
      </c>
      <c r="E27" s="5">
        <v>10.4</v>
      </c>
      <c r="F27" s="5">
        <v>7.8E-2</v>
      </c>
    </row>
    <row r="28" spans="1:6" x14ac:dyDescent="0.25">
      <c r="A28" s="6" t="s">
        <v>10</v>
      </c>
      <c r="B28" s="4">
        <v>5</v>
      </c>
      <c r="C28" s="4">
        <v>80</v>
      </c>
      <c r="D28" s="7" t="s">
        <v>7</v>
      </c>
      <c r="E28" s="4">
        <v>14.2</v>
      </c>
      <c r="F28" s="4">
        <v>0.155</v>
      </c>
    </row>
    <row r="29" spans="1:6" x14ac:dyDescent="0.25">
      <c r="A29" s="6" t="s">
        <v>10</v>
      </c>
      <c r="B29" s="4">
        <v>5</v>
      </c>
      <c r="C29" s="4">
        <v>80</v>
      </c>
      <c r="D29" s="7" t="s">
        <v>14</v>
      </c>
      <c r="E29" s="4">
        <v>2.2999999999999998</v>
      </c>
      <c r="F29" s="4">
        <v>0.109</v>
      </c>
    </row>
    <row r="30" spans="1:6" x14ac:dyDescent="0.25">
      <c r="A30" s="6" t="s">
        <v>15</v>
      </c>
      <c r="B30" s="4">
        <v>2</v>
      </c>
      <c r="C30" s="4">
        <v>80</v>
      </c>
      <c r="D30" s="7" t="s">
        <v>12</v>
      </c>
      <c r="E30" s="4">
        <v>0.7</v>
      </c>
      <c r="F30" s="4">
        <v>0.27100000000000002</v>
      </c>
    </row>
    <row r="31" spans="1:6" x14ac:dyDescent="0.25">
      <c r="A31" s="8" t="s">
        <v>15</v>
      </c>
      <c r="B31" s="5">
        <v>2</v>
      </c>
      <c r="C31" s="5">
        <v>70</v>
      </c>
      <c r="D31" s="9" t="s">
        <v>12</v>
      </c>
      <c r="E31" s="5">
        <v>0.5</v>
      </c>
      <c r="F31" s="5">
        <v>0.127</v>
      </c>
    </row>
    <row r="32" spans="1:6" x14ac:dyDescent="0.25">
      <c r="A32" s="6" t="s">
        <v>15</v>
      </c>
      <c r="B32" s="4">
        <v>3</v>
      </c>
      <c r="C32" s="4">
        <v>80</v>
      </c>
      <c r="D32" s="7" t="s">
        <v>12</v>
      </c>
      <c r="E32" s="4">
        <v>0.5</v>
      </c>
      <c r="F32" s="4">
        <v>0.13800000000000001</v>
      </c>
    </row>
    <row r="33" spans="1:6" x14ac:dyDescent="0.25">
      <c r="A33" s="6" t="s">
        <v>17</v>
      </c>
      <c r="B33" s="4">
        <v>2</v>
      </c>
      <c r="C33" s="4">
        <v>80</v>
      </c>
      <c r="D33" s="7" t="s">
        <v>7</v>
      </c>
      <c r="E33" s="4">
        <v>6.2</v>
      </c>
      <c r="F33" s="4">
        <v>0.20300000000000001</v>
      </c>
    </row>
    <row r="34" spans="1:6" x14ac:dyDescent="0.25">
      <c r="A34" s="6" t="s">
        <v>17</v>
      </c>
      <c r="B34" s="4">
        <v>2</v>
      </c>
      <c r="C34" s="4">
        <v>80</v>
      </c>
      <c r="D34" s="7" t="s">
        <v>19</v>
      </c>
      <c r="E34" s="4">
        <v>2.2999999999999998</v>
      </c>
      <c r="F34" s="4">
        <v>0.11799999999999999</v>
      </c>
    </row>
    <row r="35" spans="1:6" x14ac:dyDescent="0.25">
      <c r="A35" s="8" t="s">
        <v>17</v>
      </c>
      <c r="B35" s="5">
        <v>2</v>
      </c>
      <c r="C35" s="5">
        <v>70</v>
      </c>
      <c r="D35" s="9" t="s">
        <v>7</v>
      </c>
      <c r="E35" s="5">
        <v>4.5999999999999996</v>
      </c>
      <c r="F35" s="5">
        <v>0.105</v>
      </c>
    </row>
    <row r="36" spans="1:6" x14ac:dyDescent="0.25">
      <c r="A36" s="6" t="s">
        <v>17</v>
      </c>
      <c r="B36" s="4">
        <v>3</v>
      </c>
      <c r="C36" s="4">
        <v>80</v>
      </c>
      <c r="D36" s="7" t="s">
        <v>7</v>
      </c>
      <c r="E36" s="4">
        <v>4.4000000000000004</v>
      </c>
      <c r="F36" s="4">
        <v>0.10299999999999999</v>
      </c>
    </row>
    <row r="37" spans="1:6" x14ac:dyDescent="0.25">
      <c r="A37" s="8" t="s">
        <v>22</v>
      </c>
      <c r="B37" s="5">
        <v>2</v>
      </c>
      <c r="C37" s="5">
        <v>80</v>
      </c>
      <c r="D37" s="9" t="s">
        <v>25</v>
      </c>
      <c r="E37" s="5">
        <v>4.3</v>
      </c>
      <c r="F37" s="5">
        <v>0.57099999999999995</v>
      </c>
    </row>
    <row r="38" spans="1:6" x14ac:dyDescent="0.25">
      <c r="A38" s="8" t="s">
        <v>22</v>
      </c>
      <c r="B38" s="5">
        <v>2</v>
      </c>
      <c r="C38" s="5">
        <v>80</v>
      </c>
      <c r="D38" s="9" t="s">
        <v>24</v>
      </c>
      <c r="E38" s="5">
        <v>0.8</v>
      </c>
      <c r="F38" s="5">
        <v>0.30499999999999999</v>
      </c>
    </row>
    <row r="39" spans="1:6" x14ac:dyDescent="0.25">
      <c r="A39" s="6" t="s">
        <v>22</v>
      </c>
      <c r="B39" s="4">
        <v>2</v>
      </c>
      <c r="C39" s="4">
        <v>70</v>
      </c>
      <c r="D39" s="7" t="s">
        <v>25</v>
      </c>
      <c r="E39" s="4">
        <v>3.1</v>
      </c>
      <c r="F39" s="4">
        <v>0.28499999999999998</v>
      </c>
    </row>
    <row r="40" spans="1:6" x14ac:dyDescent="0.25">
      <c r="A40" s="6" t="s">
        <v>22</v>
      </c>
      <c r="B40" s="4">
        <v>2</v>
      </c>
      <c r="C40" s="4">
        <v>70</v>
      </c>
      <c r="D40" s="7" t="s">
        <v>24</v>
      </c>
      <c r="E40" s="4">
        <v>0.5</v>
      </c>
      <c r="F40" s="4">
        <v>0.122</v>
      </c>
    </row>
    <row r="41" spans="1:6" x14ac:dyDescent="0.25">
      <c r="A41" s="8" t="s">
        <v>22</v>
      </c>
      <c r="B41" s="5">
        <v>2</v>
      </c>
      <c r="C41" s="5">
        <v>60</v>
      </c>
      <c r="D41" s="9" t="s">
        <v>25</v>
      </c>
      <c r="E41" s="5">
        <v>2.8</v>
      </c>
      <c r="F41" s="5">
        <v>0.22700000000000001</v>
      </c>
    </row>
    <row r="42" spans="1:6" x14ac:dyDescent="0.25">
      <c r="A42" s="6" t="s">
        <v>22</v>
      </c>
      <c r="B42" s="4">
        <v>2</v>
      </c>
      <c r="C42" s="4">
        <v>45</v>
      </c>
      <c r="D42" s="7" t="s">
        <v>25</v>
      </c>
      <c r="E42" s="4">
        <v>2.9</v>
      </c>
      <c r="F42" s="4">
        <v>0.246</v>
      </c>
    </row>
    <row r="43" spans="1:6" x14ac:dyDescent="0.25">
      <c r="A43" s="8" t="s">
        <v>22</v>
      </c>
      <c r="B43" s="5">
        <v>2</v>
      </c>
      <c r="C43" s="5">
        <v>30</v>
      </c>
      <c r="D43" s="9" t="s">
        <v>25</v>
      </c>
      <c r="E43" s="5">
        <v>2.6</v>
      </c>
      <c r="F43" s="5">
        <v>0.19500000000000001</v>
      </c>
    </row>
    <row r="44" spans="1:6" x14ac:dyDescent="0.25">
      <c r="A44" s="6" t="s">
        <v>22</v>
      </c>
      <c r="B44" s="4">
        <v>2</v>
      </c>
      <c r="C44" s="4">
        <v>0</v>
      </c>
      <c r="D44" s="7" t="s">
        <v>25</v>
      </c>
      <c r="E44" s="4">
        <v>1.9</v>
      </c>
      <c r="F44" s="4">
        <v>0.106</v>
      </c>
    </row>
    <row r="45" spans="1:6" x14ac:dyDescent="0.25">
      <c r="A45" s="8" t="s">
        <v>22</v>
      </c>
      <c r="B45" s="5">
        <v>3</v>
      </c>
      <c r="C45" s="5">
        <v>80</v>
      </c>
      <c r="D45" s="9" t="s">
        <v>25</v>
      </c>
      <c r="E45" s="5">
        <v>3</v>
      </c>
      <c r="F45" s="5">
        <v>0.28999999999999998</v>
      </c>
    </row>
    <row r="46" spans="1:6" x14ac:dyDescent="0.25">
      <c r="A46" s="8" t="s">
        <v>22</v>
      </c>
      <c r="B46" s="5">
        <v>3</v>
      </c>
      <c r="C46" s="5">
        <v>80</v>
      </c>
      <c r="D46" s="9" t="s">
        <v>24</v>
      </c>
      <c r="E46" s="5">
        <v>0.6</v>
      </c>
      <c r="F46" s="5">
        <v>0.155</v>
      </c>
    </row>
    <row r="47" spans="1:6" x14ac:dyDescent="0.25">
      <c r="A47" s="6" t="s">
        <v>22</v>
      </c>
      <c r="B47" s="4">
        <v>3</v>
      </c>
      <c r="C47" s="4">
        <v>70</v>
      </c>
      <c r="D47" s="7" t="s">
        <v>25</v>
      </c>
      <c r="E47" s="4">
        <v>2.2000000000000002</v>
      </c>
      <c r="F47" s="4">
        <v>0.14499999999999999</v>
      </c>
    </row>
    <row r="48" spans="1:6" x14ac:dyDescent="0.25">
      <c r="A48" s="8" t="s">
        <v>22</v>
      </c>
      <c r="B48" s="5">
        <v>3</v>
      </c>
      <c r="C48" s="5">
        <v>60</v>
      </c>
      <c r="D48" s="9" t="s">
        <v>25</v>
      </c>
      <c r="E48" s="5">
        <v>2</v>
      </c>
      <c r="F48" s="5">
        <v>0.11600000000000001</v>
      </c>
    </row>
    <row r="49" spans="1:6" x14ac:dyDescent="0.25">
      <c r="A49" s="6" t="s">
        <v>22</v>
      </c>
      <c r="B49" s="4">
        <v>3</v>
      </c>
      <c r="C49" s="4">
        <v>45</v>
      </c>
      <c r="D49" s="7" t="s">
        <v>25</v>
      </c>
      <c r="E49" s="4">
        <v>2.1</v>
      </c>
      <c r="F49" s="4">
        <v>0.125</v>
      </c>
    </row>
    <row r="50" spans="1:6" x14ac:dyDescent="0.25">
      <c r="A50" s="8" t="s">
        <v>22</v>
      </c>
      <c r="B50" s="5">
        <v>5</v>
      </c>
      <c r="C50" s="5">
        <v>80</v>
      </c>
      <c r="D50" s="9" t="s">
        <v>25</v>
      </c>
      <c r="E50" s="5">
        <v>2</v>
      </c>
      <c r="F50" s="5">
        <v>0.124</v>
      </c>
    </row>
  </sheetData>
  <sortState xmlns:xlrd2="http://schemas.microsoft.com/office/spreadsheetml/2017/richdata2" ref="A2:F55">
    <sortCondition ref="A1:A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2637-8D29-4C43-B75E-85B73CC04742}">
  <dimension ref="A1:F211"/>
  <sheetViews>
    <sheetView tabSelected="1" workbookViewId="0">
      <selection activeCell="E2" sqref="E2"/>
    </sheetView>
  </sheetViews>
  <sheetFormatPr defaultRowHeight="15" x14ac:dyDescent="0.25"/>
  <cols>
    <col min="1" max="1" width="9.5703125" bestFit="1" customWidth="1"/>
    <col min="2" max="2" width="17" bestFit="1" customWidth="1"/>
    <col min="3" max="3" width="16.85546875" bestFit="1" customWidth="1"/>
    <col min="4" max="4" width="33.140625" bestFit="1" customWidth="1"/>
    <col min="5" max="6" width="25.5703125" bestFit="1" customWidth="1"/>
  </cols>
  <sheetData>
    <row r="1" spans="1:6" x14ac:dyDescent="0.25">
      <c r="A1" t="s">
        <v>0</v>
      </c>
      <c r="B1" t="s">
        <v>3</v>
      </c>
      <c r="C1" t="s">
        <v>44</v>
      </c>
      <c r="D1" t="s">
        <v>43</v>
      </c>
      <c r="E1" t="s">
        <v>42</v>
      </c>
      <c r="F1" t="s">
        <v>45</v>
      </c>
    </row>
    <row r="2" spans="1:6" x14ac:dyDescent="0.25">
      <c r="A2" s="1" t="s">
        <v>10</v>
      </c>
      <c r="B2" s="1" t="s">
        <v>29</v>
      </c>
      <c r="C2">
        <v>80</v>
      </c>
      <c r="D2">
        <v>10.7</v>
      </c>
      <c r="E2">
        <v>8.7999999999999995E-2</v>
      </c>
      <c r="F2" t="b">
        <f>OR(DM_Control_Error_Param_median__2[[#This Row],[aperture shift (% actuator pitch)2]]&gt;10,DM_Control_Error_Param_median__2[[#This Row],[log-amplitude variance 2]]&gt;0.1)</f>
        <v>1</v>
      </c>
    </row>
    <row r="3" spans="1:6" x14ac:dyDescent="0.25">
      <c r="A3" s="1" t="s">
        <v>6</v>
      </c>
      <c r="B3" s="1" t="s">
        <v>29</v>
      </c>
      <c r="C3">
        <v>0</v>
      </c>
      <c r="D3">
        <v>0</v>
      </c>
      <c r="E3">
        <v>0</v>
      </c>
      <c r="F3" t="b">
        <f>OR(DM_Control_Error_Param_median__2[[#This Row],[aperture shift (% actuator pitch)2]]&gt;10,DM_Control_Error_Param_median__2[[#This Row],[log-amplitude variance 2]]&gt;0.1)</f>
        <v>0</v>
      </c>
    </row>
    <row r="4" spans="1:6" x14ac:dyDescent="0.25">
      <c r="A4" s="1" t="s">
        <v>6</v>
      </c>
      <c r="B4" s="1" t="s">
        <v>29</v>
      </c>
      <c r="C4">
        <v>30</v>
      </c>
      <c r="D4">
        <v>0</v>
      </c>
      <c r="E4">
        <v>0</v>
      </c>
      <c r="F4" t="b">
        <f>OR(DM_Control_Error_Param_median__2[[#This Row],[aperture shift (% actuator pitch)2]]&gt;10,DM_Control_Error_Param_median__2[[#This Row],[log-amplitude variance 2]]&gt;0.1)</f>
        <v>0</v>
      </c>
    </row>
    <row r="5" spans="1:6" x14ac:dyDescent="0.25">
      <c r="A5" s="1" t="s">
        <v>6</v>
      </c>
      <c r="B5" s="1" t="s">
        <v>29</v>
      </c>
      <c r="C5">
        <v>45</v>
      </c>
      <c r="D5">
        <v>0</v>
      </c>
      <c r="E5">
        <v>0</v>
      </c>
      <c r="F5" t="b">
        <f>OR(DM_Control_Error_Param_median__2[[#This Row],[aperture shift (% actuator pitch)2]]&gt;10,DM_Control_Error_Param_median__2[[#This Row],[log-amplitude variance 2]]&gt;0.1)</f>
        <v>0</v>
      </c>
    </row>
    <row r="6" spans="1:6" x14ac:dyDescent="0.25">
      <c r="A6" s="1" t="s">
        <v>6</v>
      </c>
      <c r="B6" s="1" t="s">
        <v>29</v>
      </c>
      <c r="C6">
        <v>60</v>
      </c>
      <c r="D6">
        <v>0</v>
      </c>
      <c r="E6">
        <v>0</v>
      </c>
      <c r="F6" t="b">
        <f>OR(DM_Control_Error_Param_median__2[[#This Row],[aperture shift (% actuator pitch)2]]&gt;10,DM_Control_Error_Param_median__2[[#This Row],[log-amplitude variance 2]]&gt;0.1)</f>
        <v>0</v>
      </c>
    </row>
    <row r="7" spans="1:6" x14ac:dyDescent="0.25">
      <c r="A7" s="1" t="s">
        <v>6</v>
      </c>
      <c r="B7" s="1" t="s">
        <v>29</v>
      </c>
      <c r="C7">
        <v>70</v>
      </c>
      <c r="D7">
        <v>0</v>
      </c>
      <c r="E7">
        <v>0</v>
      </c>
      <c r="F7" t="b">
        <f>OR(DM_Control_Error_Param_median__2[[#This Row],[aperture shift (% actuator pitch)2]]&gt;10,DM_Control_Error_Param_median__2[[#This Row],[log-amplitude variance 2]]&gt;0.1)</f>
        <v>0</v>
      </c>
    </row>
    <row r="8" spans="1:6" x14ac:dyDescent="0.25">
      <c r="A8" s="1" t="s">
        <v>6</v>
      </c>
      <c r="B8" s="1" t="s">
        <v>29</v>
      </c>
      <c r="C8">
        <v>80</v>
      </c>
      <c r="D8">
        <v>0</v>
      </c>
      <c r="E8">
        <v>0</v>
      </c>
      <c r="F8" t="b">
        <f>OR(DM_Control_Error_Param_median__2[[#This Row],[aperture shift (% actuator pitch)2]]&gt;10,DM_Control_Error_Param_median__2[[#This Row],[log-amplitude variance 2]]&gt;0.1)</f>
        <v>0</v>
      </c>
    </row>
    <row r="9" spans="1:6" x14ac:dyDescent="0.25">
      <c r="A9" s="1" t="s">
        <v>10</v>
      </c>
      <c r="B9" s="1" t="s">
        <v>29</v>
      </c>
      <c r="C9">
        <v>0</v>
      </c>
      <c r="D9">
        <v>4.5</v>
      </c>
      <c r="E9">
        <v>1.7999999999999999E-2</v>
      </c>
      <c r="F9" t="b">
        <f>OR(DM_Control_Error_Param_median__2[[#This Row],[aperture shift (% actuator pitch)2]]&gt;10,DM_Control_Error_Param_median__2[[#This Row],[log-amplitude variance 2]]&gt;0.1)</f>
        <v>0</v>
      </c>
    </row>
    <row r="10" spans="1:6" x14ac:dyDescent="0.25">
      <c r="A10" s="1" t="s">
        <v>10</v>
      </c>
      <c r="B10" s="1" t="s">
        <v>29</v>
      </c>
      <c r="C10">
        <v>30</v>
      </c>
      <c r="D10">
        <v>5.0999999999999996</v>
      </c>
      <c r="E10">
        <v>1.9E-2</v>
      </c>
      <c r="F10" t="b">
        <f>OR(DM_Control_Error_Param_median__2[[#This Row],[aperture shift (% actuator pitch)2]]&gt;10,DM_Control_Error_Param_median__2[[#This Row],[log-amplitude variance 2]]&gt;0.1)</f>
        <v>0</v>
      </c>
    </row>
    <row r="11" spans="1:6" x14ac:dyDescent="0.25">
      <c r="A11" s="1" t="s">
        <v>10</v>
      </c>
      <c r="B11" s="1" t="s">
        <v>29</v>
      </c>
      <c r="C11">
        <v>45</v>
      </c>
      <c r="D11">
        <v>7.1</v>
      </c>
      <c r="E11">
        <v>3.3000000000000002E-2</v>
      </c>
      <c r="F11" t="b">
        <f>OR(DM_Control_Error_Param_median__2[[#This Row],[aperture shift (% actuator pitch)2]]&gt;10,DM_Control_Error_Param_median__2[[#This Row],[log-amplitude variance 2]]&gt;0.1)</f>
        <v>0</v>
      </c>
    </row>
    <row r="12" spans="1:6" x14ac:dyDescent="0.25">
      <c r="A12" s="1" t="s">
        <v>10</v>
      </c>
      <c r="B12" s="1" t="s">
        <v>29</v>
      </c>
      <c r="C12">
        <v>60</v>
      </c>
      <c r="D12">
        <v>6.7</v>
      </c>
      <c r="E12">
        <v>3.2000000000000001E-2</v>
      </c>
      <c r="F12" t="b">
        <f>OR(DM_Control_Error_Param_median__2[[#This Row],[aperture shift (% actuator pitch)2]]&gt;10,DM_Control_Error_Param_median__2[[#This Row],[log-amplitude variance 2]]&gt;0.1)</f>
        <v>0</v>
      </c>
    </row>
    <row r="13" spans="1:6" x14ac:dyDescent="0.25">
      <c r="A13" s="1" t="s">
        <v>10</v>
      </c>
      <c r="B13" s="1" t="s">
        <v>29</v>
      </c>
      <c r="C13">
        <v>70</v>
      </c>
      <c r="D13">
        <v>7.3</v>
      </c>
      <c r="E13">
        <v>4.1000000000000002E-2</v>
      </c>
      <c r="F13" t="b">
        <f>OR(DM_Control_Error_Param_median__2[[#This Row],[aperture shift (% actuator pitch)2]]&gt;10,DM_Control_Error_Param_median__2[[#This Row],[log-amplitude variance 2]]&gt;0.1)</f>
        <v>0</v>
      </c>
    </row>
    <row r="14" spans="1:6" x14ac:dyDescent="0.25">
      <c r="A14" s="1" t="s">
        <v>15</v>
      </c>
      <c r="B14" s="1" t="s">
        <v>29</v>
      </c>
      <c r="C14">
        <v>0</v>
      </c>
      <c r="D14">
        <v>0</v>
      </c>
      <c r="E14">
        <v>0</v>
      </c>
      <c r="F14" t="b">
        <f>OR(DM_Control_Error_Param_median__2[[#This Row],[aperture shift (% actuator pitch)2]]&gt;10,DM_Control_Error_Param_median__2[[#This Row],[log-amplitude variance 2]]&gt;0.1)</f>
        <v>0</v>
      </c>
    </row>
    <row r="15" spans="1:6" x14ac:dyDescent="0.25">
      <c r="A15" s="1" t="s">
        <v>15</v>
      </c>
      <c r="B15" s="1" t="s">
        <v>29</v>
      </c>
      <c r="C15">
        <v>30</v>
      </c>
      <c r="D15">
        <v>0</v>
      </c>
      <c r="E15">
        <v>0</v>
      </c>
      <c r="F15" t="b">
        <f>OR(DM_Control_Error_Param_median__2[[#This Row],[aperture shift (% actuator pitch)2]]&gt;10,DM_Control_Error_Param_median__2[[#This Row],[log-amplitude variance 2]]&gt;0.1)</f>
        <v>0</v>
      </c>
    </row>
    <row r="16" spans="1:6" x14ac:dyDescent="0.25">
      <c r="A16" s="1" t="s">
        <v>15</v>
      </c>
      <c r="B16" s="1" t="s">
        <v>29</v>
      </c>
      <c r="C16">
        <v>45</v>
      </c>
      <c r="D16">
        <v>0</v>
      </c>
      <c r="E16">
        <v>0</v>
      </c>
      <c r="F16" t="b">
        <f>OR(DM_Control_Error_Param_median__2[[#This Row],[aperture shift (% actuator pitch)2]]&gt;10,DM_Control_Error_Param_median__2[[#This Row],[log-amplitude variance 2]]&gt;0.1)</f>
        <v>0</v>
      </c>
    </row>
    <row r="17" spans="1:6" x14ac:dyDescent="0.25">
      <c r="A17" s="1" t="s">
        <v>15</v>
      </c>
      <c r="B17" s="1" t="s">
        <v>29</v>
      </c>
      <c r="C17">
        <v>60</v>
      </c>
      <c r="D17">
        <v>0</v>
      </c>
      <c r="E17">
        <v>0</v>
      </c>
      <c r="F17" t="b">
        <f>OR(DM_Control_Error_Param_median__2[[#This Row],[aperture shift (% actuator pitch)2]]&gt;10,DM_Control_Error_Param_median__2[[#This Row],[log-amplitude variance 2]]&gt;0.1)</f>
        <v>0</v>
      </c>
    </row>
    <row r="18" spans="1:6" x14ac:dyDescent="0.25">
      <c r="A18" s="1" t="s">
        <v>15</v>
      </c>
      <c r="B18" s="1" t="s">
        <v>29</v>
      </c>
      <c r="C18">
        <v>70</v>
      </c>
      <c r="D18">
        <v>0</v>
      </c>
      <c r="E18">
        <v>0</v>
      </c>
      <c r="F18" t="b">
        <f>OR(DM_Control_Error_Param_median__2[[#This Row],[aperture shift (% actuator pitch)2]]&gt;10,DM_Control_Error_Param_median__2[[#This Row],[log-amplitude variance 2]]&gt;0.1)</f>
        <v>0</v>
      </c>
    </row>
    <row r="19" spans="1:6" x14ac:dyDescent="0.25">
      <c r="A19" s="1" t="s">
        <v>15</v>
      </c>
      <c r="B19" s="1" t="s">
        <v>29</v>
      </c>
      <c r="C19">
        <v>80</v>
      </c>
      <c r="D19">
        <v>0</v>
      </c>
      <c r="E19">
        <v>0</v>
      </c>
      <c r="F19" t="b">
        <f>OR(DM_Control_Error_Param_median__2[[#This Row],[aperture shift (% actuator pitch)2]]&gt;10,DM_Control_Error_Param_median__2[[#This Row],[log-amplitude variance 2]]&gt;0.1)</f>
        <v>0</v>
      </c>
    </row>
    <row r="20" spans="1:6" x14ac:dyDescent="0.25">
      <c r="A20" s="1" t="s">
        <v>17</v>
      </c>
      <c r="B20" s="1" t="s">
        <v>29</v>
      </c>
      <c r="C20">
        <v>0</v>
      </c>
      <c r="D20">
        <v>0.7</v>
      </c>
      <c r="E20">
        <v>3.0000000000000001E-3</v>
      </c>
      <c r="F20" t="b">
        <f>OR(DM_Control_Error_Param_median__2[[#This Row],[aperture shift (% actuator pitch)2]]&gt;10,DM_Control_Error_Param_median__2[[#This Row],[log-amplitude variance 2]]&gt;0.1)</f>
        <v>0</v>
      </c>
    </row>
    <row r="21" spans="1:6" x14ac:dyDescent="0.25">
      <c r="A21" s="1" t="s">
        <v>17</v>
      </c>
      <c r="B21" s="1" t="s">
        <v>29</v>
      </c>
      <c r="C21">
        <v>30</v>
      </c>
      <c r="D21">
        <v>0.8</v>
      </c>
      <c r="E21">
        <v>3.0000000000000001E-3</v>
      </c>
      <c r="F21" t="b">
        <f>OR(DM_Control_Error_Param_median__2[[#This Row],[aperture shift (% actuator pitch)2]]&gt;10,DM_Control_Error_Param_median__2[[#This Row],[log-amplitude variance 2]]&gt;0.1)</f>
        <v>0</v>
      </c>
    </row>
    <row r="22" spans="1:6" x14ac:dyDescent="0.25">
      <c r="A22" s="1" t="s">
        <v>17</v>
      </c>
      <c r="B22" s="1" t="s">
        <v>29</v>
      </c>
      <c r="C22">
        <v>45</v>
      </c>
      <c r="D22">
        <v>0.7</v>
      </c>
      <c r="E22">
        <v>2E-3</v>
      </c>
      <c r="F22" t="b">
        <f>OR(DM_Control_Error_Param_median__2[[#This Row],[aperture shift (% actuator pitch)2]]&gt;10,DM_Control_Error_Param_median__2[[#This Row],[log-amplitude variance 2]]&gt;0.1)</f>
        <v>0</v>
      </c>
    </row>
    <row r="23" spans="1:6" x14ac:dyDescent="0.25">
      <c r="A23" s="1" t="s">
        <v>17</v>
      </c>
      <c r="B23" s="1" t="s">
        <v>29</v>
      </c>
      <c r="C23">
        <v>60</v>
      </c>
      <c r="D23">
        <v>0.8</v>
      </c>
      <c r="E23">
        <v>3.0000000000000001E-3</v>
      </c>
      <c r="F23" t="b">
        <f>OR(DM_Control_Error_Param_median__2[[#This Row],[aperture shift (% actuator pitch)2]]&gt;10,DM_Control_Error_Param_median__2[[#This Row],[log-amplitude variance 2]]&gt;0.1)</f>
        <v>0</v>
      </c>
    </row>
    <row r="24" spans="1:6" x14ac:dyDescent="0.25">
      <c r="A24" s="1" t="s">
        <v>17</v>
      </c>
      <c r="B24" s="1" t="s">
        <v>29</v>
      </c>
      <c r="C24">
        <v>70</v>
      </c>
      <c r="D24">
        <v>0.9</v>
      </c>
      <c r="E24">
        <v>4.0000000000000001E-3</v>
      </c>
      <c r="F24" t="b">
        <f>OR(DM_Control_Error_Param_median__2[[#This Row],[aperture shift (% actuator pitch)2]]&gt;10,DM_Control_Error_Param_median__2[[#This Row],[log-amplitude variance 2]]&gt;0.1)</f>
        <v>0</v>
      </c>
    </row>
    <row r="25" spans="1:6" x14ac:dyDescent="0.25">
      <c r="A25" s="1" t="s">
        <v>17</v>
      </c>
      <c r="B25" s="1" t="s">
        <v>29</v>
      </c>
      <c r="C25">
        <v>80</v>
      </c>
      <c r="D25">
        <v>1.2</v>
      </c>
      <c r="E25">
        <v>8.0000000000000002E-3</v>
      </c>
      <c r="F25" t="b">
        <f>OR(DM_Control_Error_Param_median__2[[#This Row],[aperture shift (% actuator pitch)2]]&gt;10,DM_Control_Error_Param_median__2[[#This Row],[log-amplitude variance 2]]&gt;0.1)</f>
        <v>0</v>
      </c>
    </row>
    <row r="26" spans="1:6" x14ac:dyDescent="0.25">
      <c r="A26" s="1" t="s">
        <v>20</v>
      </c>
      <c r="B26" s="1" t="s">
        <v>29</v>
      </c>
      <c r="C26">
        <v>0</v>
      </c>
      <c r="D26">
        <v>0</v>
      </c>
      <c r="E26">
        <v>0</v>
      </c>
      <c r="F26" t="b">
        <f>OR(DM_Control_Error_Param_median__2[[#This Row],[aperture shift (% actuator pitch)2]]&gt;10,DM_Control_Error_Param_median__2[[#This Row],[log-amplitude variance 2]]&gt;0.1)</f>
        <v>0</v>
      </c>
    </row>
    <row r="27" spans="1:6" x14ac:dyDescent="0.25">
      <c r="A27" s="1" t="s">
        <v>20</v>
      </c>
      <c r="B27" s="1" t="s">
        <v>29</v>
      </c>
      <c r="C27">
        <v>30</v>
      </c>
      <c r="D27">
        <v>0</v>
      </c>
      <c r="E27">
        <v>0</v>
      </c>
      <c r="F27" t="b">
        <f>OR(DM_Control_Error_Param_median__2[[#This Row],[aperture shift (% actuator pitch)2]]&gt;10,DM_Control_Error_Param_median__2[[#This Row],[log-amplitude variance 2]]&gt;0.1)</f>
        <v>0</v>
      </c>
    </row>
    <row r="28" spans="1:6" x14ac:dyDescent="0.25">
      <c r="A28" s="1" t="s">
        <v>20</v>
      </c>
      <c r="B28" s="1" t="s">
        <v>29</v>
      </c>
      <c r="C28">
        <v>45</v>
      </c>
      <c r="D28">
        <v>0</v>
      </c>
      <c r="E28">
        <v>0</v>
      </c>
      <c r="F28" t="b">
        <f>OR(DM_Control_Error_Param_median__2[[#This Row],[aperture shift (% actuator pitch)2]]&gt;10,DM_Control_Error_Param_median__2[[#This Row],[log-amplitude variance 2]]&gt;0.1)</f>
        <v>0</v>
      </c>
    </row>
    <row r="29" spans="1:6" x14ac:dyDescent="0.25">
      <c r="A29" s="1" t="s">
        <v>20</v>
      </c>
      <c r="B29" s="1" t="s">
        <v>29</v>
      </c>
      <c r="C29">
        <v>60</v>
      </c>
      <c r="D29">
        <v>0</v>
      </c>
      <c r="E29">
        <v>0</v>
      </c>
      <c r="F29" t="b">
        <f>OR(DM_Control_Error_Param_median__2[[#This Row],[aperture shift (% actuator pitch)2]]&gt;10,DM_Control_Error_Param_median__2[[#This Row],[log-amplitude variance 2]]&gt;0.1)</f>
        <v>0</v>
      </c>
    </row>
    <row r="30" spans="1:6" x14ac:dyDescent="0.25">
      <c r="A30" s="1" t="s">
        <v>20</v>
      </c>
      <c r="B30" s="1" t="s">
        <v>29</v>
      </c>
      <c r="C30">
        <v>70</v>
      </c>
      <c r="D30">
        <v>0</v>
      </c>
      <c r="E30">
        <v>0</v>
      </c>
      <c r="F30" t="b">
        <f>OR(DM_Control_Error_Param_median__2[[#This Row],[aperture shift (% actuator pitch)2]]&gt;10,DM_Control_Error_Param_median__2[[#This Row],[log-amplitude variance 2]]&gt;0.1)</f>
        <v>0</v>
      </c>
    </row>
    <row r="31" spans="1:6" x14ac:dyDescent="0.25">
      <c r="A31" s="1" t="s">
        <v>20</v>
      </c>
      <c r="B31" s="1" t="s">
        <v>29</v>
      </c>
      <c r="C31">
        <v>80</v>
      </c>
      <c r="D31">
        <v>0</v>
      </c>
      <c r="E31">
        <v>0</v>
      </c>
      <c r="F31" t="b">
        <f>OR(DM_Control_Error_Param_median__2[[#This Row],[aperture shift (% actuator pitch)2]]&gt;10,DM_Control_Error_Param_median__2[[#This Row],[log-amplitude variance 2]]&gt;0.1)</f>
        <v>0</v>
      </c>
    </row>
    <row r="32" spans="1:6" x14ac:dyDescent="0.25">
      <c r="A32" s="1" t="s">
        <v>26</v>
      </c>
      <c r="B32" s="1" t="s">
        <v>29</v>
      </c>
      <c r="C32">
        <v>0</v>
      </c>
      <c r="D32">
        <v>0</v>
      </c>
      <c r="E32">
        <v>0</v>
      </c>
      <c r="F32" t="b">
        <f>OR(DM_Control_Error_Param_median__2[[#This Row],[aperture shift (% actuator pitch)2]]&gt;10,DM_Control_Error_Param_median__2[[#This Row],[log-amplitude variance 2]]&gt;0.1)</f>
        <v>0</v>
      </c>
    </row>
    <row r="33" spans="1:6" x14ac:dyDescent="0.25">
      <c r="A33" s="1" t="s">
        <v>26</v>
      </c>
      <c r="B33" s="1" t="s">
        <v>29</v>
      </c>
      <c r="C33">
        <v>30</v>
      </c>
      <c r="D33">
        <v>0</v>
      </c>
      <c r="E33">
        <v>0</v>
      </c>
      <c r="F33" t="b">
        <f>OR(DM_Control_Error_Param_median__2[[#This Row],[aperture shift (% actuator pitch)2]]&gt;10,DM_Control_Error_Param_median__2[[#This Row],[log-amplitude variance 2]]&gt;0.1)</f>
        <v>0</v>
      </c>
    </row>
    <row r="34" spans="1:6" x14ac:dyDescent="0.25">
      <c r="A34" s="1" t="s">
        <v>26</v>
      </c>
      <c r="B34" s="1" t="s">
        <v>29</v>
      </c>
      <c r="C34">
        <v>45</v>
      </c>
      <c r="D34">
        <v>0</v>
      </c>
      <c r="E34">
        <v>0</v>
      </c>
      <c r="F34" t="b">
        <f>OR(DM_Control_Error_Param_median__2[[#This Row],[aperture shift (% actuator pitch)2]]&gt;10,DM_Control_Error_Param_median__2[[#This Row],[log-amplitude variance 2]]&gt;0.1)</f>
        <v>0</v>
      </c>
    </row>
    <row r="35" spans="1:6" x14ac:dyDescent="0.25">
      <c r="A35" s="1" t="s">
        <v>26</v>
      </c>
      <c r="B35" s="1" t="s">
        <v>29</v>
      </c>
      <c r="C35">
        <v>60</v>
      </c>
      <c r="D35">
        <v>0</v>
      </c>
      <c r="E35">
        <v>0</v>
      </c>
      <c r="F35" t="b">
        <f>OR(DM_Control_Error_Param_median__2[[#This Row],[aperture shift (% actuator pitch)2]]&gt;10,DM_Control_Error_Param_median__2[[#This Row],[log-amplitude variance 2]]&gt;0.1)</f>
        <v>0</v>
      </c>
    </row>
    <row r="36" spans="1:6" x14ac:dyDescent="0.25">
      <c r="A36" s="1" t="s">
        <v>26</v>
      </c>
      <c r="B36" s="1" t="s">
        <v>29</v>
      </c>
      <c r="C36">
        <v>70</v>
      </c>
      <c r="D36">
        <v>0</v>
      </c>
      <c r="E36">
        <v>0</v>
      </c>
      <c r="F36" t="b">
        <f>OR(DM_Control_Error_Param_median__2[[#This Row],[aperture shift (% actuator pitch)2]]&gt;10,DM_Control_Error_Param_median__2[[#This Row],[log-amplitude variance 2]]&gt;0.1)</f>
        <v>0</v>
      </c>
    </row>
    <row r="37" spans="1:6" x14ac:dyDescent="0.25">
      <c r="A37" s="1" t="s">
        <v>26</v>
      </c>
      <c r="B37" s="1" t="s">
        <v>29</v>
      </c>
      <c r="C37">
        <v>80</v>
      </c>
      <c r="D37">
        <v>0</v>
      </c>
      <c r="E37">
        <v>0</v>
      </c>
      <c r="F37" t="b">
        <f>OR(DM_Control_Error_Param_median__2[[#This Row],[aperture shift (% actuator pitch)2]]&gt;10,DM_Control_Error_Param_median__2[[#This Row],[log-amplitude variance 2]]&gt;0.1)</f>
        <v>0</v>
      </c>
    </row>
    <row r="38" spans="1:6" x14ac:dyDescent="0.25">
      <c r="A38" s="1" t="s">
        <v>22</v>
      </c>
      <c r="B38" s="1" t="s">
        <v>40</v>
      </c>
      <c r="C38">
        <v>0</v>
      </c>
      <c r="D38">
        <v>0.4</v>
      </c>
      <c r="E38">
        <v>4.0000000000000001E-3</v>
      </c>
      <c r="F38" t="b">
        <f>OR(DM_Control_Error_Param_median__2[[#This Row],[aperture shift (% actuator pitch)2]]&gt;10,DM_Control_Error_Param_median__2[[#This Row],[log-amplitude variance 2]]&gt;0.1)</f>
        <v>0</v>
      </c>
    </row>
    <row r="39" spans="1:6" x14ac:dyDescent="0.25">
      <c r="A39" s="1" t="s">
        <v>22</v>
      </c>
      <c r="B39" s="1" t="s">
        <v>40</v>
      </c>
      <c r="C39">
        <v>30</v>
      </c>
      <c r="D39">
        <v>0.5</v>
      </c>
      <c r="E39">
        <v>8.0000000000000002E-3</v>
      </c>
      <c r="F39" t="b">
        <f>OR(DM_Control_Error_Param_median__2[[#This Row],[aperture shift (% actuator pitch)2]]&gt;10,DM_Control_Error_Param_median__2[[#This Row],[log-amplitude variance 2]]&gt;0.1)</f>
        <v>0</v>
      </c>
    </row>
    <row r="40" spans="1:6" x14ac:dyDescent="0.25">
      <c r="A40" s="1" t="s">
        <v>22</v>
      </c>
      <c r="B40" s="1" t="s">
        <v>40</v>
      </c>
      <c r="C40">
        <v>45</v>
      </c>
      <c r="D40">
        <v>0.6</v>
      </c>
      <c r="E40">
        <v>0.01</v>
      </c>
      <c r="F40" t="b">
        <f>OR(DM_Control_Error_Param_median__2[[#This Row],[aperture shift (% actuator pitch)2]]&gt;10,DM_Control_Error_Param_median__2[[#This Row],[log-amplitude variance 2]]&gt;0.1)</f>
        <v>0</v>
      </c>
    </row>
    <row r="41" spans="1:6" x14ac:dyDescent="0.25">
      <c r="A41" s="1" t="s">
        <v>22</v>
      </c>
      <c r="B41" s="1" t="s">
        <v>40</v>
      </c>
      <c r="C41">
        <v>60</v>
      </c>
      <c r="D41">
        <v>0.6</v>
      </c>
      <c r="E41">
        <v>8.9999999999999993E-3</v>
      </c>
      <c r="F41" t="b">
        <f>OR(DM_Control_Error_Param_median__2[[#This Row],[aperture shift (% actuator pitch)2]]&gt;10,DM_Control_Error_Param_median__2[[#This Row],[log-amplitude variance 2]]&gt;0.1)</f>
        <v>0</v>
      </c>
    </row>
    <row r="42" spans="1:6" x14ac:dyDescent="0.25">
      <c r="A42" s="1" t="s">
        <v>22</v>
      </c>
      <c r="B42" s="1" t="s">
        <v>40</v>
      </c>
      <c r="C42">
        <v>70</v>
      </c>
      <c r="D42">
        <v>0.6</v>
      </c>
      <c r="E42">
        <v>1.0999999999999999E-2</v>
      </c>
      <c r="F42" t="b">
        <f>OR(DM_Control_Error_Param_median__2[[#This Row],[aperture shift (% actuator pitch)2]]&gt;10,DM_Control_Error_Param_median__2[[#This Row],[log-amplitude variance 2]]&gt;0.1)</f>
        <v>0</v>
      </c>
    </row>
    <row r="43" spans="1:6" x14ac:dyDescent="0.25">
      <c r="A43" s="1" t="s">
        <v>22</v>
      </c>
      <c r="B43" s="1" t="s">
        <v>40</v>
      </c>
      <c r="C43">
        <v>80</v>
      </c>
      <c r="D43">
        <v>0.8</v>
      </c>
      <c r="E43">
        <v>2.1999999999999999E-2</v>
      </c>
      <c r="F43" t="b">
        <f>OR(DM_Control_Error_Param_median__2[[#This Row],[aperture shift (% actuator pitch)2]]&gt;10,DM_Control_Error_Param_median__2[[#This Row],[log-amplitude variance 2]]&gt;0.1)</f>
        <v>0</v>
      </c>
    </row>
    <row r="44" spans="1:6" x14ac:dyDescent="0.25">
      <c r="A44" s="1" t="s">
        <v>6</v>
      </c>
      <c r="B44" s="1" t="s">
        <v>30</v>
      </c>
      <c r="C44">
        <v>0</v>
      </c>
      <c r="D44">
        <v>0</v>
      </c>
      <c r="E44">
        <v>0</v>
      </c>
      <c r="F44" t="b">
        <f>OR(DM_Control_Error_Param_median__2[[#This Row],[aperture shift (% actuator pitch)2]]&gt;10,DM_Control_Error_Param_median__2[[#This Row],[log-amplitude variance 2]]&gt;0.1)</f>
        <v>0</v>
      </c>
    </row>
    <row r="45" spans="1:6" x14ac:dyDescent="0.25">
      <c r="A45" s="1" t="s">
        <v>6</v>
      </c>
      <c r="B45" s="1" t="s">
        <v>30</v>
      </c>
      <c r="C45">
        <v>30</v>
      </c>
      <c r="D45">
        <v>0</v>
      </c>
      <c r="E45">
        <v>0</v>
      </c>
      <c r="F45" t="b">
        <f>OR(DM_Control_Error_Param_median__2[[#This Row],[aperture shift (% actuator pitch)2]]&gt;10,DM_Control_Error_Param_median__2[[#This Row],[log-amplitude variance 2]]&gt;0.1)</f>
        <v>0</v>
      </c>
    </row>
    <row r="46" spans="1:6" x14ac:dyDescent="0.25">
      <c r="A46" s="1" t="s">
        <v>6</v>
      </c>
      <c r="B46" s="1" t="s">
        <v>30</v>
      </c>
      <c r="C46">
        <v>45</v>
      </c>
      <c r="D46">
        <v>0</v>
      </c>
      <c r="E46">
        <v>0</v>
      </c>
      <c r="F46" t="b">
        <f>OR(DM_Control_Error_Param_median__2[[#This Row],[aperture shift (% actuator pitch)2]]&gt;10,DM_Control_Error_Param_median__2[[#This Row],[log-amplitude variance 2]]&gt;0.1)</f>
        <v>0</v>
      </c>
    </row>
    <row r="47" spans="1:6" x14ac:dyDescent="0.25">
      <c r="A47" s="1" t="s">
        <v>6</v>
      </c>
      <c r="B47" s="1" t="s">
        <v>30</v>
      </c>
      <c r="C47">
        <v>60</v>
      </c>
      <c r="D47">
        <v>0</v>
      </c>
      <c r="E47">
        <v>0</v>
      </c>
      <c r="F47" t="b">
        <f>OR(DM_Control_Error_Param_median__2[[#This Row],[aperture shift (% actuator pitch)2]]&gt;10,DM_Control_Error_Param_median__2[[#This Row],[log-amplitude variance 2]]&gt;0.1)</f>
        <v>0</v>
      </c>
    </row>
    <row r="48" spans="1:6" x14ac:dyDescent="0.25">
      <c r="A48" s="1" t="s">
        <v>6</v>
      </c>
      <c r="B48" s="1" t="s">
        <v>30</v>
      </c>
      <c r="C48">
        <v>70</v>
      </c>
      <c r="D48">
        <v>0</v>
      </c>
      <c r="E48">
        <v>0</v>
      </c>
      <c r="F48" t="b">
        <f>OR(DM_Control_Error_Param_median__2[[#This Row],[aperture shift (% actuator pitch)2]]&gt;10,DM_Control_Error_Param_median__2[[#This Row],[log-amplitude variance 2]]&gt;0.1)</f>
        <v>0</v>
      </c>
    </row>
    <row r="49" spans="1:6" x14ac:dyDescent="0.25">
      <c r="A49" s="1" t="s">
        <v>6</v>
      </c>
      <c r="B49" s="1" t="s">
        <v>30</v>
      </c>
      <c r="C49">
        <v>80</v>
      </c>
      <c r="D49">
        <v>0</v>
      </c>
      <c r="E49">
        <v>0</v>
      </c>
      <c r="F49" t="b">
        <f>OR(DM_Control_Error_Param_median__2[[#This Row],[aperture shift (% actuator pitch)2]]&gt;10,DM_Control_Error_Param_median__2[[#This Row],[log-amplitude variance 2]]&gt;0.1)</f>
        <v>0</v>
      </c>
    </row>
    <row r="50" spans="1:6" x14ac:dyDescent="0.25">
      <c r="A50" s="1" t="s">
        <v>15</v>
      </c>
      <c r="B50" s="1" t="s">
        <v>30</v>
      </c>
      <c r="C50">
        <v>0</v>
      </c>
      <c r="D50">
        <v>0</v>
      </c>
      <c r="E50">
        <v>0</v>
      </c>
      <c r="F50" t="b">
        <f>OR(DM_Control_Error_Param_median__2[[#This Row],[aperture shift (% actuator pitch)2]]&gt;10,DM_Control_Error_Param_median__2[[#This Row],[log-amplitude variance 2]]&gt;0.1)</f>
        <v>0</v>
      </c>
    </row>
    <row r="51" spans="1:6" x14ac:dyDescent="0.25">
      <c r="A51" s="1" t="s">
        <v>15</v>
      </c>
      <c r="B51" s="1" t="s">
        <v>30</v>
      </c>
      <c r="C51">
        <v>30</v>
      </c>
      <c r="D51">
        <v>0</v>
      </c>
      <c r="E51">
        <v>0</v>
      </c>
      <c r="F51" t="b">
        <f>OR(DM_Control_Error_Param_median__2[[#This Row],[aperture shift (% actuator pitch)2]]&gt;10,DM_Control_Error_Param_median__2[[#This Row],[log-amplitude variance 2]]&gt;0.1)</f>
        <v>0</v>
      </c>
    </row>
    <row r="52" spans="1:6" x14ac:dyDescent="0.25">
      <c r="A52" s="1" t="s">
        <v>15</v>
      </c>
      <c r="B52" s="1" t="s">
        <v>30</v>
      </c>
      <c r="C52">
        <v>45</v>
      </c>
      <c r="D52">
        <v>0</v>
      </c>
      <c r="E52">
        <v>0</v>
      </c>
      <c r="F52" t="b">
        <f>OR(DM_Control_Error_Param_median__2[[#This Row],[aperture shift (% actuator pitch)2]]&gt;10,DM_Control_Error_Param_median__2[[#This Row],[log-amplitude variance 2]]&gt;0.1)</f>
        <v>0</v>
      </c>
    </row>
    <row r="53" spans="1:6" x14ac:dyDescent="0.25">
      <c r="A53" s="1" t="s">
        <v>15</v>
      </c>
      <c r="B53" s="1" t="s">
        <v>30</v>
      </c>
      <c r="C53">
        <v>60</v>
      </c>
      <c r="D53">
        <v>0</v>
      </c>
      <c r="E53">
        <v>0</v>
      </c>
      <c r="F53" t="b">
        <f>OR(DM_Control_Error_Param_median__2[[#This Row],[aperture shift (% actuator pitch)2]]&gt;10,DM_Control_Error_Param_median__2[[#This Row],[log-amplitude variance 2]]&gt;0.1)</f>
        <v>0</v>
      </c>
    </row>
    <row r="54" spans="1:6" x14ac:dyDescent="0.25">
      <c r="A54" s="1" t="s">
        <v>15</v>
      </c>
      <c r="B54" s="1" t="s">
        <v>30</v>
      </c>
      <c r="C54">
        <v>70</v>
      </c>
      <c r="D54">
        <v>0</v>
      </c>
      <c r="E54">
        <v>0</v>
      </c>
      <c r="F54" t="b">
        <f>OR(DM_Control_Error_Param_median__2[[#This Row],[aperture shift (% actuator pitch)2]]&gt;10,DM_Control_Error_Param_median__2[[#This Row],[log-amplitude variance 2]]&gt;0.1)</f>
        <v>0</v>
      </c>
    </row>
    <row r="55" spans="1:6" x14ac:dyDescent="0.25">
      <c r="A55" s="1" t="s">
        <v>15</v>
      </c>
      <c r="B55" s="1" t="s">
        <v>30</v>
      </c>
      <c r="C55">
        <v>80</v>
      </c>
      <c r="D55">
        <v>0</v>
      </c>
      <c r="E55">
        <v>0</v>
      </c>
      <c r="F55" t="b">
        <f>OR(DM_Control_Error_Param_median__2[[#This Row],[aperture shift (% actuator pitch)2]]&gt;10,DM_Control_Error_Param_median__2[[#This Row],[log-amplitude variance 2]]&gt;0.1)</f>
        <v>0</v>
      </c>
    </row>
    <row r="56" spans="1:6" x14ac:dyDescent="0.25">
      <c r="A56" s="1" t="s">
        <v>10</v>
      </c>
      <c r="B56" s="1" t="s">
        <v>32</v>
      </c>
      <c r="C56">
        <v>0</v>
      </c>
      <c r="D56">
        <v>0</v>
      </c>
      <c r="E56">
        <v>0</v>
      </c>
      <c r="F56" t="b">
        <f>OR(DM_Control_Error_Param_median__2[[#This Row],[aperture shift (% actuator pitch)2]]&gt;10,DM_Control_Error_Param_median__2[[#This Row],[log-amplitude variance 2]]&gt;0.1)</f>
        <v>0</v>
      </c>
    </row>
    <row r="57" spans="1:6" x14ac:dyDescent="0.25">
      <c r="A57" s="1" t="s">
        <v>10</v>
      </c>
      <c r="B57" s="1" t="s">
        <v>32</v>
      </c>
      <c r="C57">
        <v>30</v>
      </c>
      <c r="D57">
        <v>0</v>
      </c>
      <c r="E57">
        <v>0</v>
      </c>
      <c r="F57" t="b">
        <f>OR(DM_Control_Error_Param_median__2[[#This Row],[aperture shift (% actuator pitch)2]]&gt;10,DM_Control_Error_Param_median__2[[#This Row],[log-amplitude variance 2]]&gt;0.1)</f>
        <v>0</v>
      </c>
    </row>
    <row r="58" spans="1:6" x14ac:dyDescent="0.25">
      <c r="A58" s="1" t="s">
        <v>10</v>
      </c>
      <c r="B58" s="1" t="s">
        <v>32</v>
      </c>
      <c r="C58">
        <v>45</v>
      </c>
      <c r="D58">
        <v>0</v>
      </c>
      <c r="E58">
        <v>0</v>
      </c>
      <c r="F58" t="b">
        <f>OR(DM_Control_Error_Param_median__2[[#This Row],[aperture shift (% actuator pitch)2]]&gt;10,DM_Control_Error_Param_median__2[[#This Row],[log-amplitude variance 2]]&gt;0.1)</f>
        <v>0</v>
      </c>
    </row>
    <row r="59" spans="1:6" x14ac:dyDescent="0.25">
      <c r="A59" s="1" t="s">
        <v>10</v>
      </c>
      <c r="B59" s="1" t="s">
        <v>32</v>
      </c>
      <c r="C59">
        <v>60</v>
      </c>
      <c r="D59">
        <v>0</v>
      </c>
      <c r="E59">
        <v>0</v>
      </c>
      <c r="F59" t="b">
        <f>OR(DM_Control_Error_Param_median__2[[#This Row],[aperture shift (% actuator pitch)2]]&gt;10,DM_Control_Error_Param_median__2[[#This Row],[log-amplitude variance 2]]&gt;0.1)</f>
        <v>0</v>
      </c>
    </row>
    <row r="60" spans="1:6" x14ac:dyDescent="0.25">
      <c r="A60" s="1" t="s">
        <v>10</v>
      </c>
      <c r="B60" s="1" t="s">
        <v>32</v>
      </c>
      <c r="C60">
        <v>70</v>
      </c>
      <c r="D60">
        <v>0</v>
      </c>
      <c r="E60">
        <v>0</v>
      </c>
      <c r="F60" t="b">
        <f>OR(DM_Control_Error_Param_median__2[[#This Row],[aperture shift (% actuator pitch)2]]&gt;10,DM_Control_Error_Param_median__2[[#This Row],[log-amplitude variance 2]]&gt;0.1)</f>
        <v>0</v>
      </c>
    </row>
    <row r="61" spans="1:6" x14ac:dyDescent="0.25">
      <c r="A61" s="1" t="s">
        <v>10</v>
      </c>
      <c r="B61" s="1" t="s">
        <v>32</v>
      </c>
      <c r="C61">
        <v>80</v>
      </c>
      <c r="D61">
        <v>0</v>
      </c>
      <c r="E61">
        <v>0</v>
      </c>
      <c r="F61" t="b">
        <f>OR(DM_Control_Error_Param_median__2[[#This Row],[aperture shift (% actuator pitch)2]]&gt;10,DM_Control_Error_Param_median__2[[#This Row],[log-amplitude variance 2]]&gt;0.1)</f>
        <v>0</v>
      </c>
    </row>
    <row r="62" spans="1:6" x14ac:dyDescent="0.25">
      <c r="A62" s="1" t="s">
        <v>17</v>
      </c>
      <c r="B62" s="1" t="s">
        <v>36</v>
      </c>
      <c r="C62">
        <v>0</v>
      </c>
      <c r="D62">
        <v>0</v>
      </c>
      <c r="E62">
        <v>0</v>
      </c>
      <c r="F62" t="b">
        <f>OR(DM_Control_Error_Param_median__2[[#This Row],[aperture shift (% actuator pitch)2]]&gt;10,DM_Control_Error_Param_median__2[[#This Row],[log-amplitude variance 2]]&gt;0.1)</f>
        <v>0</v>
      </c>
    </row>
    <row r="63" spans="1:6" x14ac:dyDescent="0.25">
      <c r="A63" s="1" t="s">
        <v>17</v>
      </c>
      <c r="B63" s="1" t="s">
        <v>36</v>
      </c>
      <c r="C63">
        <v>30</v>
      </c>
      <c r="D63">
        <v>0</v>
      </c>
      <c r="E63">
        <v>0</v>
      </c>
      <c r="F63" t="b">
        <f>OR(DM_Control_Error_Param_median__2[[#This Row],[aperture shift (% actuator pitch)2]]&gt;10,DM_Control_Error_Param_median__2[[#This Row],[log-amplitude variance 2]]&gt;0.1)</f>
        <v>0</v>
      </c>
    </row>
    <row r="64" spans="1:6" x14ac:dyDescent="0.25">
      <c r="A64" s="1" t="s">
        <v>17</v>
      </c>
      <c r="B64" s="1" t="s">
        <v>36</v>
      </c>
      <c r="C64">
        <v>45</v>
      </c>
      <c r="D64">
        <v>0</v>
      </c>
      <c r="E64">
        <v>0</v>
      </c>
      <c r="F64" t="b">
        <f>OR(DM_Control_Error_Param_median__2[[#This Row],[aperture shift (% actuator pitch)2]]&gt;10,DM_Control_Error_Param_median__2[[#This Row],[log-amplitude variance 2]]&gt;0.1)</f>
        <v>0</v>
      </c>
    </row>
    <row r="65" spans="1:6" x14ac:dyDescent="0.25">
      <c r="A65" s="1" t="s">
        <v>17</v>
      </c>
      <c r="B65" s="1" t="s">
        <v>36</v>
      </c>
      <c r="C65">
        <v>60</v>
      </c>
      <c r="D65">
        <v>0</v>
      </c>
      <c r="E65">
        <v>0</v>
      </c>
      <c r="F65" t="b">
        <f>OR(DM_Control_Error_Param_median__2[[#This Row],[aperture shift (% actuator pitch)2]]&gt;10,DM_Control_Error_Param_median__2[[#This Row],[log-amplitude variance 2]]&gt;0.1)</f>
        <v>0</v>
      </c>
    </row>
    <row r="66" spans="1:6" x14ac:dyDescent="0.25">
      <c r="A66" s="1" t="s">
        <v>17</v>
      </c>
      <c r="B66" s="1" t="s">
        <v>36</v>
      </c>
      <c r="C66">
        <v>70</v>
      </c>
      <c r="D66">
        <v>0</v>
      </c>
      <c r="E66">
        <v>0</v>
      </c>
      <c r="F66" t="b">
        <f>OR(DM_Control_Error_Param_median__2[[#This Row],[aperture shift (% actuator pitch)2]]&gt;10,DM_Control_Error_Param_median__2[[#This Row],[log-amplitude variance 2]]&gt;0.1)</f>
        <v>0</v>
      </c>
    </row>
    <row r="67" spans="1:6" x14ac:dyDescent="0.25">
      <c r="A67" s="1" t="s">
        <v>17</v>
      </c>
      <c r="B67" s="1" t="s">
        <v>36</v>
      </c>
      <c r="C67">
        <v>80</v>
      </c>
      <c r="D67">
        <v>0</v>
      </c>
      <c r="E67">
        <v>0</v>
      </c>
      <c r="F67" t="b">
        <f>OR(DM_Control_Error_Param_median__2[[#This Row],[aperture shift (% actuator pitch)2]]&gt;10,DM_Control_Error_Param_median__2[[#This Row],[log-amplitude variance 2]]&gt;0.1)</f>
        <v>0</v>
      </c>
    </row>
    <row r="68" spans="1:6" x14ac:dyDescent="0.25">
      <c r="A68" s="1" t="s">
        <v>22</v>
      </c>
      <c r="B68" s="1" t="s">
        <v>38</v>
      </c>
      <c r="C68">
        <v>0</v>
      </c>
      <c r="D68">
        <v>0</v>
      </c>
      <c r="E68">
        <v>0</v>
      </c>
      <c r="F68" t="b">
        <f>OR(DM_Control_Error_Param_median__2[[#This Row],[aperture shift (% actuator pitch)2]]&gt;10,DM_Control_Error_Param_median__2[[#This Row],[log-amplitude variance 2]]&gt;0.1)</f>
        <v>0</v>
      </c>
    </row>
    <row r="69" spans="1:6" x14ac:dyDescent="0.25">
      <c r="A69" s="1" t="s">
        <v>22</v>
      </c>
      <c r="B69" s="1" t="s">
        <v>38</v>
      </c>
      <c r="C69">
        <v>30</v>
      </c>
      <c r="D69">
        <v>0</v>
      </c>
      <c r="E69">
        <v>0</v>
      </c>
      <c r="F69" t="b">
        <f>OR(DM_Control_Error_Param_median__2[[#This Row],[aperture shift (% actuator pitch)2]]&gt;10,DM_Control_Error_Param_median__2[[#This Row],[log-amplitude variance 2]]&gt;0.1)</f>
        <v>0</v>
      </c>
    </row>
    <row r="70" spans="1:6" x14ac:dyDescent="0.25">
      <c r="A70" s="1" t="s">
        <v>22</v>
      </c>
      <c r="B70" s="1" t="s">
        <v>38</v>
      </c>
      <c r="C70">
        <v>45</v>
      </c>
      <c r="D70">
        <v>0</v>
      </c>
      <c r="E70">
        <v>0</v>
      </c>
      <c r="F70" t="b">
        <f>OR(DM_Control_Error_Param_median__2[[#This Row],[aperture shift (% actuator pitch)2]]&gt;10,DM_Control_Error_Param_median__2[[#This Row],[log-amplitude variance 2]]&gt;0.1)</f>
        <v>0</v>
      </c>
    </row>
    <row r="71" spans="1:6" x14ac:dyDescent="0.25">
      <c r="A71" s="1" t="s">
        <v>22</v>
      </c>
      <c r="B71" s="1" t="s">
        <v>38</v>
      </c>
      <c r="C71">
        <v>60</v>
      </c>
      <c r="D71">
        <v>0</v>
      </c>
      <c r="E71">
        <v>0</v>
      </c>
      <c r="F71" t="b">
        <f>OR(DM_Control_Error_Param_median__2[[#This Row],[aperture shift (% actuator pitch)2]]&gt;10,DM_Control_Error_Param_median__2[[#This Row],[log-amplitude variance 2]]&gt;0.1)</f>
        <v>0</v>
      </c>
    </row>
    <row r="72" spans="1:6" x14ac:dyDescent="0.25">
      <c r="A72" s="1" t="s">
        <v>22</v>
      </c>
      <c r="B72" s="1" t="s">
        <v>38</v>
      </c>
      <c r="C72">
        <v>70</v>
      </c>
      <c r="D72">
        <v>0</v>
      </c>
      <c r="E72">
        <v>0</v>
      </c>
      <c r="F72" t="b">
        <f>OR(DM_Control_Error_Param_median__2[[#This Row],[aperture shift (% actuator pitch)2]]&gt;10,DM_Control_Error_Param_median__2[[#This Row],[log-amplitude variance 2]]&gt;0.1)</f>
        <v>0</v>
      </c>
    </row>
    <row r="73" spans="1:6" x14ac:dyDescent="0.25">
      <c r="A73" s="1" t="s">
        <v>22</v>
      </c>
      <c r="B73" s="1" t="s">
        <v>38</v>
      </c>
      <c r="C73">
        <v>80</v>
      </c>
      <c r="D73">
        <v>0</v>
      </c>
      <c r="E73">
        <v>0</v>
      </c>
      <c r="F73" t="b">
        <f>OR(DM_Control_Error_Param_median__2[[#This Row],[aperture shift (% actuator pitch)2]]&gt;10,DM_Control_Error_Param_median__2[[#This Row],[log-amplitude variance 2]]&gt;0.1)</f>
        <v>0</v>
      </c>
    </row>
    <row r="74" spans="1:6" x14ac:dyDescent="0.25">
      <c r="A74" s="1" t="s">
        <v>26</v>
      </c>
      <c r="B74" s="1" t="s">
        <v>41</v>
      </c>
      <c r="C74">
        <v>0</v>
      </c>
      <c r="D74">
        <v>0</v>
      </c>
      <c r="E74">
        <v>0</v>
      </c>
      <c r="F74" t="b">
        <f>OR(DM_Control_Error_Param_median__2[[#This Row],[aperture shift (% actuator pitch)2]]&gt;10,DM_Control_Error_Param_median__2[[#This Row],[log-amplitude variance 2]]&gt;0.1)</f>
        <v>0</v>
      </c>
    </row>
    <row r="75" spans="1:6" x14ac:dyDescent="0.25">
      <c r="A75" s="1" t="s">
        <v>26</v>
      </c>
      <c r="B75" s="1" t="s">
        <v>41</v>
      </c>
      <c r="C75">
        <v>30</v>
      </c>
      <c r="D75">
        <v>0</v>
      </c>
      <c r="E75">
        <v>0</v>
      </c>
      <c r="F75" t="b">
        <f>OR(DM_Control_Error_Param_median__2[[#This Row],[aperture shift (% actuator pitch)2]]&gt;10,DM_Control_Error_Param_median__2[[#This Row],[log-amplitude variance 2]]&gt;0.1)</f>
        <v>0</v>
      </c>
    </row>
    <row r="76" spans="1:6" x14ac:dyDescent="0.25">
      <c r="A76" s="1" t="s">
        <v>26</v>
      </c>
      <c r="B76" s="1" t="s">
        <v>41</v>
      </c>
      <c r="C76">
        <v>45</v>
      </c>
      <c r="D76">
        <v>0</v>
      </c>
      <c r="E76">
        <v>0</v>
      </c>
      <c r="F76" t="b">
        <f>OR(DM_Control_Error_Param_median__2[[#This Row],[aperture shift (% actuator pitch)2]]&gt;10,DM_Control_Error_Param_median__2[[#This Row],[log-amplitude variance 2]]&gt;0.1)</f>
        <v>0</v>
      </c>
    </row>
    <row r="77" spans="1:6" x14ac:dyDescent="0.25">
      <c r="A77" s="1" t="s">
        <v>26</v>
      </c>
      <c r="B77" s="1" t="s">
        <v>41</v>
      </c>
      <c r="C77">
        <v>60</v>
      </c>
      <c r="D77">
        <v>0</v>
      </c>
      <c r="E77">
        <v>0</v>
      </c>
      <c r="F77" t="b">
        <f>OR(DM_Control_Error_Param_median__2[[#This Row],[aperture shift (% actuator pitch)2]]&gt;10,DM_Control_Error_Param_median__2[[#This Row],[log-amplitude variance 2]]&gt;0.1)</f>
        <v>0</v>
      </c>
    </row>
    <row r="78" spans="1:6" x14ac:dyDescent="0.25">
      <c r="A78" s="1" t="s">
        <v>26</v>
      </c>
      <c r="B78" s="1" t="s">
        <v>41</v>
      </c>
      <c r="C78">
        <v>70</v>
      </c>
      <c r="D78">
        <v>0</v>
      </c>
      <c r="E78">
        <v>0</v>
      </c>
      <c r="F78" t="b">
        <f>OR(DM_Control_Error_Param_median__2[[#This Row],[aperture shift (% actuator pitch)2]]&gt;10,DM_Control_Error_Param_median__2[[#This Row],[log-amplitude variance 2]]&gt;0.1)</f>
        <v>0</v>
      </c>
    </row>
    <row r="79" spans="1:6" x14ac:dyDescent="0.25">
      <c r="A79" s="1" t="s">
        <v>26</v>
      </c>
      <c r="B79" s="1" t="s">
        <v>41</v>
      </c>
      <c r="C79">
        <v>80</v>
      </c>
      <c r="D79">
        <v>0</v>
      </c>
      <c r="E79">
        <v>0</v>
      </c>
      <c r="F79" t="b">
        <f>OR(DM_Control_Error_Param_median__2[[#This Row],[aperture shift (% actuator pitch)2]]&gt;10,DM_Control_Error_Param_median__2[[#This Row],[log-amplitude variance 2]]&gt;0.1)</f>
        <v>0</v>
      </c>
    </row>
    <row r="80" spans="1:6" x14ac:dyDescent="0.25">
      <c r="A80" s="1" t="s">
        <v>10</v>
      </c>
      <c r="B80" s="1" t="s">
        <v>33</v>
      </c>
      <c r="C80">
        <v>0</v>
      </c>
      <c r="D80">
        <v>0.2</v>
      </c>
      <c r="E80">
        <v>3.0000000000000001E-3</v>
      </c>
      <c r="F80" t="b">
        <f>OR(DM_Control_Error_Param_median__2[[#This Row],[aperture shift (% actuator pitch)2]]&gt;10,DM_Control_Error_Param_median__2[[#This Row],[log-amplitude variance 2]]&gt;0.1)</f>
        <v>0</v>
      </c>
    </row>
    <row r="81" spans="1:6" x14ac:dyDescent="0.25">
      <c r="A81" s="1" t="s">
        <v>10</v>
      </c>
      <c r="B81" s="1" t="s">
        <v>33</v>
      </c>
      <c r="C81">
        <v>30</v>
      </c>
      <c r="D81">
        <v>0.3</v>
      </c>
      <c r="E81">
        <v>3.0000000000000001E-3</v>
      </c>
      <c r="F81" t="b">
        <f>OR(DM_Control_Error_Param_median__2[[#This Row],[aperture shift (% actuator pitch)2]]&gt;10,DM_Control_Error_Param_median__2[[#This Row],[log-amplitude variance 2]]&gt;0.1)</f>
        <v>0</v>
      </c>
    </row>
    <row r="82" spans="1:6" x14ac:dyDescent="0.25">
      <c r="A82" s="1" t="s">
        <v>10</v>
      </c>
      <c r="B82" s="1" t="s">
        <v>33</v>
      </c>
      <c r="C82">
        <v>45</v>
      </c>
      <c r="D82">
        <v>0.3</v>
      </c>
      <c r="E82">
        <v>4.0000000000000001E-3</v>
      </c>
      <c r="F82" t="b">
        <f>OR(DM_Control_Error_Param_median__2[[#This Row],[aperture shift (% actuator pitch)2]]&gt;10,DM_Control_Error_Param_median__2[[#This Row],[log-amplitude variance 2]]&gt;0.1)</f>
        <v>0</v>
      </c>
    </row>
    <row r="83" spans="1:6" x14ac:dyDescent="0.25">
      <c r="A83" s="1" t="s">
        <v>10</v>
      </c>
      <c r="B83" s="1" t="s">
        <v>33</v>
      </c>
      <c r="C83">
        <v>60</v>
      </c>
      <c r="D83">
        <v>0.4</v>
      </c>
      <c r="E83">
        <v>7.0000000000000001E-3</v>
      </c>
      <c r="F83" t="b">
        <f>OR(DM_Control_Error_Param_median__2[[#This Row],[aperture shift (% actuator pitch)2]]&gt;10,DM_Control_Error_Param_median__2[[#This Row],[log-amplitude variance 2]]&gt;0.1)</f>
        <v>0</v>
      </c>
    </row>
    <row r="84" spans="1:6" x14ac:dyDescent="0.25">
      <c r="A84" s="1" t="s">
        <v>10</v>
      </c>
      <c r="B84" s="1" t="s">
        <v>33</v>
      </c>
      <c r="C84">
        <v>70</v>
      </c>
      <c r="D84">
        <v>0.4</v>
      </c>
      <c r="E84">
        <v>8.0000000000000002E-3</v>
      </c>
      <c r="F84" t="b">
        <f>OR(DM_Control_Error_Param_median__2[[#This Row],[aperture shift (% actuator pitch)2]]&gt;10,DM_Control_Error_Param_median__2[[#This Row],[log-amplitude variance 2]]&gt;0.1)</f>
        <v>0</v>
      </c>
    </row>
    <row r="85" spans="1:6" x14ac:dyDescent="0.25">
      <c r="A85" s="1" t="s">
        <v>10</v>
      </c>
      <c r="B85" s="1" t="s">
        <v>33</v>
      </c>
      <c r="C85">
        <v>80</v>
      </c>
      <c r="D85">
        <v>0.7</v>
      </c>
      <c r="E85">
        <v>2.5000000000000001E-2</v>
      </c>
      <c r="F85" t="b">
        <f>OR(DM_Control_Error_Param_median__2[[#This Row],[aperture shift (% actuator pitch)2]]&gt;10,DM_Control_Error_Param_median__2[[#This Row],[log-amplitude variance 2]]&gt;0.1)</f>
        <v>0</v>
      </c>
    </row>
    <row r="86" spans="1:6" x14ac:dyDescent="0.25">
      <c r="A86" s="1" t="s">
        <v>15</v>
      </c>
      <c r="B86" s="1" t="s">
        <v>33</v>
      </c>
      <c r="C86">
        <v>0</v>
      </c>
      <c r="D86">
        <v>0</v>
      </c>
      <c r="E86">
        <v>1E-3</v>
      </c>
      <c r="F86" t="b">
        <f>OR(DM_Control_Error_Param_median__2[[#This Row],[aperture shift (% actuator pitch)2]]&gt;10,DM_Control_Error_Param_median__2[[#This Row],[log-amplitude variance 2]]&gt;0.1)</f>
        <v>0</v>
      </c>
    </row>
    <row r="87" spans="1:6" x14ac:dyDescent="0.25">
      <c r="A87" s="1" t="s">
        <v>15</v>
      </c>
      <c r="B87" s="1" t="s">
        <v>33</v>
      </c>
      <c r="C87">
        <v>30</v>
      </c>
      <c r="D87">
        <v>0.1</v>
      </c>
      <c r="E87">
        <v>1E-3</v>
      </c>
      <c r="F87" t="b">
        <f>OR(DM_Control_Error_Param_median__2[[#This Row],[aperture shift (% actuator pitch)2]]&gt;10,DM_Control_Error_Param_median__2[[#This Row],[log-amplitude variance 2]]&gt;0.1)</f>
        <v>0</v>
      </c>
    </row>
    <row r="88" spans="1:6" x14ac:dyDescent="0.25">
      <c r="A88" s="1" t="s">
        <v>15</v>
      </c>
      <c r="B88" s="1" t="s">
        <v>33</v>
      </c>
      <c r="C88">
        <v>45</v>
      </c>
      <c r="D88">
        <v>0.1</v>
      </c>
      <c r="E88">
        <v>2E-3</v>
      </c>
      <c r="F88" t="b">
        <f>OR(DM_Control_Error_Param_median__2[[#This Row],[aperture shift (% actuator pitch)2]]&gt;10,DM_Control_Error_Param_median__2[[#This Row],[log-amplitude variance 2]]&gt;0.1)</f>
        <v>0</v>
      </c>
    </row>
    <row r="89" spans="1:6" x14ac:dyDescent="0.25">
      <c r="A89" s="1" t="s">
        <v>15</v>
      </c>
      <c r="B89" s="1" t="s">
        <v>33</v>
      </c>
      <c r="C89">
        <v>60</v>
      </c>
      <c r="D89">
        <v>0.1</v>
      </c>
      <c r="E89">
        <v>3.0000000000000001E-3</v>
      </c>
      <c r="F89" t="b">
        <f>OR(DM_Control_Error_Param_median__2[[#This Row],[aperture shift (% actuator pitch)2]]&gt;10,DM_Control_Error_Param_median__2[[#This Row],[log-amplitude variance 2]]&gt;0.1)</f>
        <v>0</v>
      </c>
    </row>
    <row r="90" spans="1:6" x14ac:dyDescent="0.25">
      <c r="A90" s="1" t="s">
        <v>15</v>
      </c>
      <c r="B90" s="1" t="s">
        <v>33</v>
      </c>
      <c r="C90">
        <v>70</v>
      </c>
      <c r="D90">
        <v>0.1</v>
      </c>
      <c r="E90">
        <v>5.0000000000000001E-3</v>
      </c>
      <c r="F90" t="b">
        <f>OR(DM_Control_Error_Param_median__2[[#This Row],[aperture shift (% actuator pitch)2]]&gt;10,DM_Control_Error_Param_median__2[[#This Row],[log-amplitude variance 2]]&gt;0.1)</f>
        <v>0</v>
      </c>
    </row>
    <row r="91" spans="1:6" x14ac:dyDescent="0.25">
      <c r="A91" s="1" t="s">
        <v>15</v>
      </c>
      <c r="B91" s="1" t="s">
        <v>33</v>
      </c>
      <c r="C91">
        <v>80</v>
      </c>
      <c r="D91">
        <v>0.1</v>
      </c>
      <c r="E91">
        <v>1.0999999999999999E-2</v>
      </c>
      <c r="F91" t="b">
        <f>OR(DM_Control_Error_Param_median__2[[#This Row],[aperture shift (% actuator pitch)2]]&gt;10,DM_Control_Error_Param_median__2[[#This Row],[log-amplitude variance 2]]&gt;0.1)</f>
        <v>0</v>
      </c>
    </row>
    <row r="92" spans="1:6" x14ac:dyDescent="0.25">
      <c r="A92" s="1" t="s">
        <v>6</v>
      </c>
      <c r="B92" s="1" t="s">
        <v>31</v>
      </c>
      <c r="C92">
        <v>0</v>
      </c>
      <c r="D92">
        <v>0.2</v>
      </c>
      <c r="E92">
        <v>1E-3</v>
      </c>
      <c r="F92" t="b">
        <f>OR(DM_Control_Error_Param_median__2[[#This Row],[aperture shift (% actuator pitch)2]]&gt;10,DM_Control_Error_Param_median__2[[#This Row],[log-amplitude variance 2]]&gt;0.1)</f>
        <v>0</v>
      </c>
    </row>
    <row r="93" spans="1:6" x14ac:dyDescent="0.25">
      <c r="A93" s="1" t="s">
        <v>6</v>
      </c>
      <c r="B93" s="1" t="s">
        <v>31</v>
      </c>
      <c r="C93">
        <v>30</v>
      </c>
      <c r="D93">
        <v>0.2</v>
      </c>
      <c r="E93">
        <v>1E-3</v>
      </c>
      <c r="F93" t="b">
        <f>OR(DM_Control_Error_Param_median__2[[#This Row],[aperture shift (% actuator pitch)2]]&gt;10,DM_Control_Error_Param_median__2[[#This Row],[log-amplitude variance 2]]&gt;0.1)</f>
        <v>0</v>
      </c>
    </row>
    <row r="94" spans="1:6" x14ac:dyDescent="0.25">
      <c r="A94" s="1" t="s">
        <v>6</v>
      </c>
      <c r="B94" s="1" t="s">
        <v>31</v>
      </c>
      <c r="C94">
        <v>45</v>
      </c>
      <c r="D94">
        <v>0.3</v>
      </c>
      <c r="E94">
        <v>2E-3</v>
      </c>
      <c r="F94" t="b">
        <f>OR(DM_Control_Error_Param_median__2[[#This Row],[aperture shift (% actuator pitch)2]]&gt;10,DM_Control_Error_Param_median__2[[#This Row],[log-amplitude variance 2]]&gt;0.1)</f>
        <v>0</v>
      </c>
    </row>
    <row r="95" spans="1:6" x14ac:dyDescent="0.25">
      <c r="A95" s="1" t="s">
        <v>6</v>
      </c>
      <c r="B95" s="1" t="s">
        <v>31</v>
      </c>
      <c r="C95">
        <v>60</v>
      </c>
      <c r="D95">
        <v>0.3</v>
      </c>
      <c r="E95">
        <v>2E-3</v>
      </c>
      <c r="F95" t="b">
        <f>OR(DM_Control_Error_Param_median__2[[#This Row],[aperture shift (% actuator pitch)2]]&gt;10,DM_Control_Error_Param_median__2[[#This Row],[log-amplitude variance 2]]&gt;0.1)</f>
        <v>0</v>
      </c>
    </row>
    <row r="96" spans="1:6" x14ac:dyDescent="0.25">
      <c r="A96" s="1" t="s">
        <v>6</v>
      </c>
      <c r="B96" s="1" t="s">
        <v>31</v>
      </c>
      <c r="C96">
        <v>70</v>
      </c>
      <c r="D96">
        <v>0.3</v>
      </c>
      <c r="E96">
        <v>3.0000000000000001E-3</v>
      </c>
      <c r="F96" t="b">
        <f>OR(DM_Control_Error_Param_median__2[[#This Row],[aperture shift (% actuator pitch)2]]&gt;10,DM_Control_Error_Param_median__2[[#This Row],[log-amplitude variance 2]]&gt;0.1)</f>
        <v>0</v>
      </c>
    </row>
    <row r="97" spans="1:6" x14ac:dyDescent="0.25">
      <c r="A97" s="1" t="s">
        <v>6</v>
      </c>
      <c r="B97" s="1" t="s">
        <v>31</v>
      </c>
      <c r="C97">
        <v>80</v>
      </c>
      <c r="D97">
        <v>0.8</v>
      </c>
      <c r="E97">
        <v>1.4999999999999999E-2</v>
      </c>
      <c r="F97" t="b">
        <f>OR(DM_Control_Error_Param_median__2[[#This Row],[aperture shift (% actuator pitch)2]]&gt;10,DM_Control_Error_Param_median__2[[#This Row],[log-amplitude variance 2]]&gt;0.1)</f>
        <v>0</v>
      </c>
    </row>
    <row r="98" spans="1:6" x14ac:dyDescent="0.25">
      <c r="A98" s="1" t="s">
        <v>10</v>
      </c>
      <c r="B98" s="1" t="s">
        <v>34</v>
      </c>
      <c r="C98">
        <v>0</v>
      </c>
      <c r="D98">
        <v>0.7</v>
      </c>
      <c r="E98">
        <v>7.0000000000000001E-3</v>
      </c>
      <c r="F98" t="b">
        <f>OR(DM_Control_Error_Param_median__2[[#This Row],[aperture shift (% actuator pitch)2]]&gt;10,DM_Control_Error_Param_median__2[[#This Row],[log-amplitude variance 2]]&gt;0.1)</f>
        <v>0</v>
      </c>
    </row>
    <row r="99" spans="1:6" x14ac:dyDescent="0.25">
      <c r="A99" s="1" t="s">
        <v>10</v>
      </c>
      <c r="B99" s="1" t="s">
        <v>34</v>
      </c>
      <c r="C99">
        <v>30</v>
      </c>
      <c r="D99">
        <v>0.7</v>
      </c>
      <c r="E99">
        <v>7.0000000000000001E-3</v>
      </c>
      <c r="F99" t="b">
        <f>OR(DM_Control_Error_Param_median__2[[#This Row],[aperture shift (% actuator pitch)2]]&gt;10,DM_Control_Error_Param_median__2[[#This Row],[log-amplitude variance 2]]&gt;0.1)</f>
        <v>0</v>
      </c>
    </row>
    <row r="100" spans="1:6" x14ac:dyDescent="0.25">
      <c r="A100" s="1" t="s">
        <v>10</v>
      </c>
      <c r="B100" s="1" t="s">
        <v>34</v>
      </c>
      <c r="C100">
        <v>45</v>
      </c>
      <c r="D100">
        <v>0.7</v>
      </c>
      <c r="E100">
        <v>8.9999999999999993E-3</v>
      </c>
      <c r="F100" t="b">
        <f>OR(DM_Control_Error_Param_median__2[[#This Row],[aperture shift (% actuator pitch)2]]&gt;10,DM_Control_Error_Param_median__2[[#This Row],[log-amplitude variance 2]]&gt;0.1)</f>
        <v>0</v>
      </c>
    </row>
    <row r="101" spans="1:6" x14ac:dyDescent="0.25">
      <c r="A101" s="1" t="s">
        <v>10</v>
      </c>
      <c r="B101" s="1" t="s">
        <v>34</v>
      </c>
      <c r="C101">
        <v>60</v>
      </c>
      <c r="D101">
        <v>0.9</v>
      </c>
      <c r="E101">
        <v>1.2999999999999999E-2</v>
      </c>
      <c r="F101" t="b">
        <f>OR(DM_Control_Error_Param_median__2[[#This Row],[aperture shift (% actuator pitch)2]]&gt;10,DM_Control_Error_Param_median__2[[#This Row],[log-amplitude variance 2]]&gt;0.1)</f>
        <v>0</v>
      </c>
    </row>
    <row r="102" spans="1:6" x14ac:dyDescent="0.25">
      <c r="A102" s="1" t="s">
        <v>10</v>
      </c>
      <c r="B102" s="1" t="s">
        <v>34</v>
      </c>
      <c r="C102">
        <v>70</v>
      </c>
      <c r="D102">
        <v>1.1000000000000001</v>
      </c>
      <c r="E102">
        <v>2.1000000000000001E-2</v>
      </c>
      <c r="F102" t="b">
        <f>OR(DM_Control_Error_Param_median__2[[#This Row],[aperture shift (% actuator pitch)2]]&gt;10,DM_Control_Error_Param_median__2[[#This Row],[log-amplitude variance 2]]&gt;0.1)</f>
        <v>0</v>
      </c>
    </row>
    <row r="103" spans="1:6" x14ac:dyDescent="0.25">
      <c r="A103" s="1" t="s">
        <v>10</v>
      </c>
      <c r="B103" s="1" t="s">
        <v>34</v>
      </c>
      <c r="C103">
        <v>80</v>
      </c>
      <c r="D103">
        <v>1.6</v>
      </c>
      <c r="E103">
        <v>4.4999999999999998E-2</v>
      </c>
      <c r="F103" t="b">
        <f>OR(DM_Control_Error_Param_median__2[[#This Row],[aperture shift (% actuator pitch)2]]&gt;10,DM_Control_Error_Param_median__2[[#This Row],[log-amplitude variance 2]]&gt;0.1)</f>
        <v>0</v>
      </c>
    </row>
    <row r="104" spans="1:6" x14ac:dyDescent="0.25">
      <c r="A104" s="1" t="s">
        <v>20</v>
      </c>
      <c r="B104" s="1" t="s">
        <v>34</v>
      </c>
      <c r="C104">
        <v>0</v>
      </c>
      <c r="D104">
        <v>0</v>
      </c>
      <c r="E104">
        <v>0</v>
      </c>
      <c r="F104" t="b">
        <f>OR(DM_Control_Error_Param_median__2[[#This Row],[aperture shift (% actuator pitch)2]]&gt;10,DM_Control_Error_Param_median__2[[#This Row],[log-amplitude variance 2]]&gt;0.1)</f>
        <v>0</v>
      </c>
    </row>
    <row r="105" spans="1:6" x14ac:dyDescent="0.25">
      <c r="A105" s="1" t="s">
        <v>20</v>
      </c>
      <c r="B105" s="1" t="s">
        <v>34</v>
      </c>
      <c r="C105">
        <v>30</v>
      </c>
      <c r="D105">
        <v>0</v>
      </c>
      <c r="E105">
        <v>0</v>
      </c>
      <c r="F105" t="b">
        <f>OR(DM_Control_Error_Param_median__2[[#This Row],[aperture shift (% actuator pitch)2]]&gt;10,DM_Control_Error_Param_median__2[[#This Row],[log-amplitude variance 2]]&gt;0.1)</f>
        <v>0</v>
      </c>
    </row>
    <row r="106" spans="1:6" x14ac:dyDescent="0.25">
      <c r="A106" s="1" t="s">
        <v>20</v>
      </c>
      <c r="B106" s="1" t="s">
        <v>34</v>
      </c>
      <c r="C106">
        <v>45</v>
      </c>
      <c r="D106">
        <v>0</v>
      </c>
      <c r="E106">
        <v>0</v>
      </c>
      <c r="F106" t="b">
        <f>OR(DM_Control_Error_Param_median__2[[#This Row],[aperture shift (% actuator pitch)2]]&gt;10,DM_Control_Error_Param_median__2[[#This Row],[log-amplitude variance 2]]&gt;0.1)</f>
        <v>0</v>
      </c>
    </row>
    <row r="107" spans="1:6" x14ac:dyDescent="0.25">
      <c r="A107" s="1" t="s">
        <v>20</v>
      </c>
      <c r="B107" s="1" t="s">
        <v>34</v>
      </c>
      <c r="C107">
        <v>60</v>
      </c>
      <c r="D107">
        <v>0</v>
      </c>
      <c r="E107">
        <v>0</v>
      </c>
      <c r="F107" t="b">
        <f>OR(DM_Control_Error_Param_median__2[[#This Row],[aperture shift (% actuator pitch)2]]&gt;10,DM_Control_Error_Param_median__2[[#This Row],[log-amplitude variance 2]]&gt;0.1)</f>
        <v>0</v>
      </c>
    </row>
    <row r="108" spans="1:6" x14ac:dyDescent="0.25">
      <c r="A108" s="1" t="s">
        <v>20</v>
      </c>
      <c r="B108" s="1" t="s">
        <v>34</v>
      </c>
      <c r="C108">
        <v>70</v>
      </c>
      <c r="D108">
        <v>0</v>
      </c>
      <c r="E108">
        <v>0</v>
      </c>
      <c r="F108" t="b">
        <f>OR(DM_Control_Error_Param_median__2[[#This Row],[aperture shift (% actuator pitch)2]]&gt;10,DM_Control_Error_Param_median__2[[#This Row],[log-amplitude variance 2]]&gt;0.1)</f>
        <v>0</v>
      </c>
    </row>
    <row r="109" spans="1:6" x14ac:dyDescent="0.25">
      <c r="A109" s="1" t="s">
        <v>20</v>
      </c>
      <c r="B109" s="1" t="s">
        <v>34</v>
      </c>
      <c r="C109">
        <v>80</v>
      </c>
      <c r="D109">
        <v>0</v>
      </c>
      <c r="E109">
        <v>0</v>
      </c>
      <c r="F109" t="b">
        <f>OR(DM_Control_Error_Param_median__2[[#This Row],[aperture shift (% actuator pitch)2]]&gt;10,DM_Control_Error_Param_median__2[[#This Row],[log-amplitude variance 2]]&gt;0.1)</f>
        <v>0</v>
      </c>
    </row>
    <row r="110" spans="1:6" x14ac:dyDescent="0.25">
      <c r="A110" s="1" t="s">
        <v>17</v>
      </c>
      <c r="B110" s="1" t="s">
        <v>37</v>
      </c>
      <c r="C110">
        <v>0</v>
      </c>
      <c r="D110">
        <v>0.2</v>
      </c>
      <c r="E110">
        <v>1E-3</v>
      </c>
      <c r="F110" t="b">
        <f>OR(DM_Control_Error_Param_median__2[[#This Row],[aperture shift (% actuator pitch)2]]&gt;10,DM_Control_Error_Param_median__2[[#This Row],[log-amplitude variance 2]]&gt;0.1)</f>
        <v>0</v>
      </c>
    </row>
    <row r="111" spans="1:6" x14ac:dyDescent="0.25">
      <c r="A111" s="1" t="s">
        <v>17</v>
      </c>
      <c r="B111" s="1" t="s">
        <v>37</v>
      </c>
      <c r="C111">
        <v>30</v>
      </c>
      <c r="D111">
        <v>0.2</v>
      </c>
      <c r="E111">
        <v>1E-3</v>
      </c>
      <c r="F111" t="b">
        <f>OR(DM_Control_Error_Param_median__2[[#This Row],[aperture shift (% actuator pitch)2]]&gt;10,DM_Control_Error_Param_median__2[[#This Row],[log-amplitude variance 2]]&gt;0.1)</f>
        <v>0</v>
      </c>
    </row>
    <row r="112" spans="1:6" x14ac:dyDescent="0.25">
      <c r="A112" s="1" t="s">
        <v>17</v>
      </c>
      <c r="B112" s="1" t="s">
        <v>37</v>
      </c>
      <c r="C112">
        <v>45</v>
      </c>
      <c r="D112">
        <v>0.2</v>
      </c>
      <c r="E112">
        <v>1E-3</v>
      </c>
      <c r="F112" t="b">
        <f>OR(DM_Control_Error_Param_median__2[[#This Row],[aperture shift (% actuator pitch)2]]&gt;10,DM_Control_Error_Param_median__2[[#This Row],[log-amplitude variance 2]]&gt;0.1)</f>
        <v>0</v>
      </c>
    </row>
    <row r="113" spans="1:6" x14ac:dyDescent="0.25">
      <c r="A113" s="1" t="s">
        <v>17</v>
      </c>
      <c r="B113" s="1" t="s">
        <v>37</v>
      </c>
      <c r="C113">
        <v>60</v>
      </c>
      <c r="D113">
        <v>0.2</v>
      </c>
      <c r="E113">
        <v>1E-3</v>
      </c>
      <c r="F113" t="b">
        <f>OR(DM_Control_Error_Param_median__2[[#This Row],[aperture shift (% actuator pitch)2]]&gt;10,DM_Control_Error_Param_median__2[[#This Row],[log-amplitude variance 2]]&gt;0.1)</f>
        <v>0</v>
      </c>
    </row>
    <row r="114" spans="1:6" x14ac:dyDescent="0.25">
      <c r="A114" s="1" t="s">
        <v>17</v>
      </c>
      <c r="B114" s="1" t="s">
        <v>37</v>
      </c>
      <c r="C114">
        <v>70</v>
      </c>
      <c r="D114">
        <v>0.3</v>
      </c>
      <c r="E114">
        <v>2E-3</v>
      </c>
      <c r="F114" t="b">
        <f>OR(DM_Control_Error_Param_median__2[[#This Row],[aperture shift (% actuator pitch)2]]&gt;10,DM_Control_Error_Param_median__2[[#This Row],[log-amplitude variance 2]]&gt;0.1)</f>
        <v>0</v>
      </c>
    </row>
    <row r="115" spans="1:6" x14ac:dyDescent="0.25">
      <c r="A115" s="1" t="s">
        <v>17</v>
      </c>
      <c r="B115" s="1" t="s">
        <v>37</v>
      </c>
      <c r="C115">
        <v>80</v>
      </c>
      <c r="D115">
        <v>0.5</v>
      </c>
      <c r="E115">
        <v>5.0000000000000001E-3</v>
      </c>
      <c r="F115" t="b">
        <f>OR(DM_Control_Error_Param_median__2[[#This Row],[aperture shift (% actuator pitch)2]]&gt;10,DM_Control_Error_Param_median__2[[#This Row],[log-amplitude variance 2]]&gt;0.1)</f>
        <v>0</v>
      </c>
    </row>
    <row r="116" spans="1:6" x14ac:dyDescent="0.25">
      <c r="A116" s="1" t="s">
        <v>22</v>
      </c>
      <c r="B116" s="1" t="s">
        <v>39</v>
      </c>
      <c r="C116">
        <v>0</v>
      </c>
      <c r="D116">
        <v>0.1</v>
      </c>
      <c r="E116">
        <v>2E-3</v>
      </c>
      <c r="F116" t="b">
        <f>OR(DM_Control_Error_Param_median__2[[#This Row],[aperture shift (% actuator pitch)2]]&gt;10,DM_Control_Error_Param_median__2[[#This Row],[log-amplitude variance 2]]&gt;0.1)</f>
        <v>0</v>
      </c>
    </row>
    <row r="117" spans="1:6" x14ac:dyDescent="0.25">
      <c r="A117" s="1" t="s">
        <v>22</v>
      </c>
      <c r="B117" s="1" t="s">
        <v>39</v>
      </c>
      <c r="C117">
        <v>30</v>
      </c>
      <c r="D117">
        <v>0.1</v>
      </c>
      <c r="E117">
        <v>2E-3</v>
      </c>
      <c r="F117" t="b">
        <f>OR(DM_Control_Error_Param_median__2[[#This Row],[aperture shift (% actuator pitch)2]]&gt;10,DM_Control_Error_Param_median__2[[#This Row],[log-amplitude variance 2]]&gt;0.1)</f>
        <v>0</v>
      </c>
    </row>
    <row r="118" spans="1:6" x14ac:dyDescent="0.25">
      <c r="A118" s="1" t="s">
        <v>22</v>
      </c>
      <c r="B118" s="1" t="s">
        <v>39</v>
      </c>
      <c r="C118">
        <v>45</v>
      </c>
      <c r="D118">
        <v>0.1</v>
      </c>
      <c r="E118">
        <v>2E-3</v>
      </c>
      <c r="F118" t="b">
        <f>OR(DM_Control_Error_Param_median__2[[#This Row],[aperture shift (% actuator pitch)2]]&gt;10,DM_Control_Error_Param_median__2[[#This Row],[log-amplitude variance 2]]&gt;0.1)</f>
        <v>0</v>
      </c>
    </row>
    <row r="119" spans="1:6" x14ac:dyDescent="0.25">
      <c r="A119" s="1" t="s">
        <v>22</v>
      </c>
      <c r="B119" s="1" t="s">
        <v>39</v>
      </c>
      <c r="C119">
        <v>60</v>
      </c>
      <c r="D119">
        <v>0.1</v>
      </c>
      <c r="E119">
        <v>3.0000000000000001E-3</v>
      </c>
      <c r="F119" t="b">
        <f>OR(DM_Control_Error_Param_median__2[[#This Row],[aperture shift (% actuator pitch)2]]&gt;10,DM_Control_Error_Param_median__2[[#This Row],[log-amplitude variance 2]]&gt;0.1)</f>
        <v>0</v>
      </c>
    </row>
    <row r="120" spans="1:6" x14ac:dyDescent="0.25">
      <c r="A120" s="1" t="s">
        <v>22</v>
      </c>
      <c r="B120" s="1" t="s">
        <v>39</v>
      </c>
      <c r="C120">
        <v>70</v>
      </c>
      <c r="D120">
        <v>0.1</v>
      </c>
      <c r="E120">
        <v>5.0000000000000001E-3</v>
      </c>
      <c r="F120" t="b">
        <f>OR(DM_Control_Error_Param_median__2[[#This Row],[aperture shift (% actuator pitch)2]]&gt;10,DM_Control_Error_Param_median__2[[#This Row],[log-amplitude variance 2]]&gt;0.1)</f>
        <v>0</v>
      </c>
    </row>
    <row r="121" spans="1:6" x14ac:dyDescent="0.25">
      <c r="A121" s="1" t="s">
        <v>22</v>
      </c>
      <c r="B121" s="1" t="s">
        <v>39</v>
      </c>
      <c r="C121">
        <v>80</v>
      </c>
      <c r="D121">
        <v>0.2</v>
      </c>
      <c r="E121">
        <v>1.2E-2</v>
      </c>
      <c r="F121" t="b">
        <f>OR(DM_Control_Error_Param_median__2[[#This Row],[aperture shift (% actuator pitch)2]]&gt;10,DM_Control_Error_Param_median__2[[#This Row],[log-amplitude variance 2]]&gt;0.1)</f>
        <v>0</v>
      </c>
    </row>
    <row r="122" spans="1:6" x14ac:dyDescent="0.25">
      <c r="A122" s="1" t="s">
        <v>10</v>
      </c>
      <c r="B122" s="1" t="s">
        <v>35</v>
      </c>
      <c r="C122">
        <v>0</v>
      </c>
      <c r="D122">
        <v>1</v>
      </c>
      <c r="E122">
        <v>1.7000000000000001E-2</v>
      </c>
      <c r="F122" t="b">
        <f>OR(DM_Control_Error_Param_median__2[[#This Row],[aperture shift (% actuator pitch)2]]&gt;10,DM_Control_Error_Param_median__2[[#This Row],[log-amplitude variance 2]]&gt;0.1)</f>
        <v>0</v>
      </c>
    </row>
    <row r="123" spans="1:6" x14ac:dyDescent="0.25">
      <c r="A123" s="1" t="s">
        <v>10</v>
      </c>
      <c r="B123" s="1" t="s">
        <v>35</v>
      </c>
      <c r="C123">
        <v>30</v>
      </c>
      <c r="D123">
        <v>0.8</v>
      </c>
      <c r="E123">
        <v>1.2999999999999999E-2</v>
      </c>
      <c r="F123" t="b">
        <f>OR(DM_Control_Error_Param_median__2[[#This Row],[aperture shift (% actuator pitch)2]]&gt;10,DM_Control_Error_Param_median__2[[#This Row],[log-amplitude variance 2]]&gt;0.1)</f>
        <v>0</v>
      </c>
    </row>
    <row r="124" spans="1:6" x14ac:dyDescent="0.25">
      <c r="A124" s="1" t="s">
        <v>10</v>
      </c>
      <c r="B124" s="1" t="s">
        <v>35</v>
      </c>
      <c r="C124">
        <v>45</v>
      </c>
      <c r="D124">
        <v>0.8</v>
      </c>
      <c r="E124">
        <v>1.2999999999999999E-2</v>
      </c>
      <c r="F124" t="b">
        <f>OR(DM_Control_Error_Param_median__2[[#This Row],[aperture shift (% actuator pitch)2]]&gt;10,DM_Control_Error_Param_median__2[[#This Row],[log-amplitude variance 2]]&gt;0.1)</f>
        <v>0</v>
      </c>
    </row>
    <row r="125" spans="1:6" x14ac:dyDescent="0.25">
      <c r="A125" s="1" t="s">
        <v>10</v>
      </c>
      <c r="B125" s="1" t="s">
        <v>35</v>
      </c>
      <c r="C125">
        <v>60</v>
      </c>
      <c r="D125">
        <v>1</v>
      </c>
      <c r="E125">
        <v>1.7999999999999999E-2</v>
      </c>
      <c r="F125" t="b">
        <f>OR(DM_Control_Error_Param_median__2[[#This Row],[aperture shift (% actuator pitch)2]]&gt;10,DM_Control_Error_Param_median__2[[#This Row],[log-amplitude variance 2]]&gt;0.1)</f>
        <v>0</v>
      </c>
    </row>
    <row r="126" spans="1:6" x14ac:dyDescent="0.25">
      <c r="A126" s="1" t="s">
        <v>10</v>
      </c>
      <c r="B126" s="1" t="s">
        <v>35</v>
      </c>
      <c r="C126">
        <v>70</v>
      </c>
      <c r="D126">
        <v>1.2</v>
      </c>
      <c r="E126">
        <v>2.9000000000000001E-2</v>
      </c>
      <c r="F126" t="b">
        <f>OR(DM_Control_Error_Param_median__2[[#This Row],[aperture shift (% actuator pitch)2]]&gt;10,DM_Control_Error_Param_median__2[[#This Row],[log-amplitude variance 2]]&gt;0.1)</f>
        <v>0</v>
      </c>
    </row>
    <row r="127" spans="1:6" x14ac:dyDescent="0.25">
      <c r="A127" s="1" t="s">
        <v>10</v>
      </c>
      <c r="B127" s="1" t="s">
        <v>35</v>
      </c>
      <c r="C127">
        <v>80</v>
      </c>
      <c r="D127">
        <v>1.8</v>
      </c>
      <c r="E127">
        <v>6.2E-2</v>
      </c>
      <c r="F127" t="b">
        <f>OR(DM_Control_Error_Param_median__2[[#This Row],[aperture shift (% actuator pitch)2]]&gt;10,DM_Control_Error_Param_median__2[[#This Row],[log-amplitude variance 2]]&gt;0.1)</f>
        <v>0</v>
      </c>
    </row>
    <row r="128" spans="1:6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A82-3998-48C5-A407-7F338B79F5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BCF2E5-9A39-4773-A7D1-5B810A12D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DM-Control-Error-Param (3)</vt:lpstr>
      <vt:lpstr>Sheet5</vt:lpstr>
      <vt:lpstr>DM-Control-Error-Param-median (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KONGKAEW, PUTTIWAT</dc:creator>
  <cp:lastModifiedBy>KONGKAEW, PUTTIWAT</cp:lastModifiedBy>
  <dcterms:created xsi:type="dcterms:W3CDTF">2015-06-05T18:17:20Z</dcterms:created>
  <dcterms:modified xsi:type="dcterms:W3CDTF">2025-05-15T15:40:24Z</dcterms:modified>
</cp:coreProperties>
</file>
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rhamuniversity-my.sharepoint.com/personal/gqmc62_durham_ac_uk/Documents/Documents/PhD/Codes/ThesisChapter4Plots/"/>
    </mc:Choice>
  </mc:AlternateContent>
  <xr:revisionPtr revIDLastSave="19" documentId="8_{FE77DA9E-8F00-4814-9FA7-C391C280FF5E}" xr6:coauthVersionLast="47" xr6:coauthVersionMax="47" xr10:uidLastSave="{11CA267F-C94B-4412-B99E-7C312224AF3A}"/>
  <bookViews>
    <workbookView xWindow="-120" yWindow="-120" windowWidth="29040" windowHeight="15720" xr2:uid="{83009F9C-A934-4D6E-AD4E-AF52195EB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3" i="1"/>
  <c r="J4" i="1"/>
  <c r="J5" i="1"/>
  <c r="B6" i="1"/>
  <c r="I6" i="1"/>
  <c r="I5" i="1"/>
  <c r="I4" i="1"/>
  <c r="I3" i="1"/>
  <c r="H6" i="1"/>
  <c r="H5" i="1"/>
  <c r="H4" i="1"/>
  <c r="H3" i="1"/>
  <c r="G6" i="1"/>
  <c r="G5" i="1"/>
  <c r="G4" i="1"/>
  <c r="G3" i="1"/>
  <c r="F6" i="1"/>
  <c r="F5" i="1"/>
  <c r="F4" i="1"/>
  <c r="F3" i="1"/>
  <c r="E6" i="1"/>
  <c r="E5" i="1"/>
  <c r="E4" i="1"/>
  <c r="E3" i="1"/>
  <c r="D6" i="1"/>
  <c r="D5" i="1"/>
  <c r="D4" i="1"/>
  <c r="D3" i="1"/>
  <c r="C6" i="1"/>
  <c r="C5" i="1"/>
  <c r="C4" i="1"/>
  <c r="C3" i="1"/>
  <c r="B5" i="1"/>
  <c r="B4" i="1"/>
  <c r="B3" i="1"/>
</calcChain>
</file>

<file path=xl/sharedStrings.xml><?xml version="1.0" encoding="utf-8"?>
<sst xmlns="http://schemas.openxmlformats.org/spreadsheetml/2006/main" count="6" uniqueCount="6">
  <si>
    <t>cProfile</t>
  </si>
  <si>
    <t>N</t>
  </si>
  <si>
    <t>IG</t>
  </si>
  <si>
    <t>FT</t>
  </si>
  <si>
    <t>PROP</t>
  </si>
  <si>
    <t>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</si>
</sst>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C0FA-F171-4A2E-8D7A-F502620917D6}">
  <dimension ref="A1:K6"/>
  <sheetViews>
    <sheetView tabSelected="1" workbookViewId="0">
      <selection activeCell="B9" sqref="B9"/>
    </sheetView>
  </sheetViews>
  <sheetFormatPr defaultRowHeight="15" x14ac:dyDescent="0.25"/>
  <cols>
    <col min="2" max="6" width="10" bestFit="1" customWidth="1"/>
  </cols>
  <sheetData>
    <row r="1" spans="1:11" x14ac:dyDescent="0.25">
      <c r="A1" t="s">
        <v>0</v>
      </c>
    </row>
    <row r="2" spans="1:11" x14ac:dyDescent="0.25">
      <c r="A2" t="s">
        <v>1</v>
      </c>
      <c r="B2">
        <v>2</v>
      </c>
      <c r="C2">
        <v>4</v>
      </c>
      <c r="D2">
        <v>8</v>
      </c>
      <c r="E2">
        <v>16</v>
      </c>
      <c r="F2">
        <v>32</v>
      </c>
      <c r="G2">
        <v>64</v>
      </c>
      <c r="H2">
        <v>128</v>
      </c>
      <c r="I2">
        <v>256</v>
      </c>
      <c r="J2">
        <v>512</v>
      </c>
      <c r="K2">
        <v>1024</v>
      </c>
    </row>
    <row r="3" spans="1:11" x14ac:dyDescent="0.25">
      <c r="A3" t="s">
        <v>2</v>
      </c>
      <c r="B3">
        <f>0.518/10000</f>
        <v>5.1799999999999999E-5</v>
      </c>
      <c r="C3">
        <f>0.541/10000</f>
        <v>5.41E-5</v>
      </c>
      <c r="D3">
        <f>0.546/10000</f>
        <v>5.4600000000000006E-5</v>
      </c>
      <c r="E3">
        <f>0.601/10000</f>
        <v>6.0099999999999997E-5</v>
      </c>
      <c r="F3">
        <f>0.717/10000</f>
        <v>7.1699999999999995E-5</v>
      </c>
      <c r="G3">
        <f>1.139/10000</f>
        <v>1.139E-4</v>
      </c>
      <c r="H3">
        <f>2.923/10000</f>
        <v>2.923E-4</v>
      </c>
      <c r="I3">
        <f>16.391/10000</f>
        <v>1.6390999999999999E-3</v>
      </c>
      <c r="J3">
        <f>79.81/10000</f>
        <v>7.9810000000000002E-3</v>
      </c>
    </row>
    <row r="4" spans="1:11" x14ac:dyDescent="0.25">
      <c r="A4" t="s">
        <v>3</v>
      </c>
      <c r="B4">
        <f>0.779/10000</f>
        <v>7.7899999999999996E-5</v>
      </c>
      <c r="C4">
        <f>0.793/10000</f>
        <v>7.9300000000000003E-5</v>
      </c>
      <c r="D4">
        <f>0.817/10000</f>
        <v>8.1699999999999994E-5</v>
      </c>
      <c r="E4">
        <f>0.889/10000</f>
        <v>8.8900000000000006E-5</v>
      </c>
      <c r="F4">
        <f>1.203/10000</f>
        <v>1.2030000000000001E-4</v>
      </c>
      <c r="G4">
        <f>2.598/10000</f>
        <v>2.5979999999999997E-4</v>
      </c>
      <c r="H4">
        <f>8.826/10000</f>
        <v>8.8260000000000009E-4</v>
      </c>
      <c r="I4">
        <f>54.91/10000</f>
        <v>5.4909999999999994E-3</v>
      </c>
      <c r="J4">
        <f>209.289/10000</f>
        <v>2.09289E-2</v>
      </c>
    </row>
    <row r="5" spans="1:11" x14ac:dyDescent="0.25">
      <c r="A5" t="s">
        <v>4</v>
      </c>
      <c r="B5">
        <f>1.057/10000</f>
        <v>1.0569999999999999E-4</v>
      </c>
      <c r="C5">
        <f>1.062/10000</f>
        <v>1.0620000000000001E-4</v>
      </c>
      <c r="D5">
        <f>1.117/10000</f>
        <v>1.117E-4</v>
      </c>
      <c r="E5">
        <f>1.186/10000</f>
        <v>1.186E-4</v>
      </c>
      <c r="F5">
        <f>1.648/10000</f>
        <v>1.6479999999999999E-4</v>
      </c>
      <c r="G5">
        <f>3.667/10000</f>
        <v>3.6669999999999997E-4</v>
      </c>
      <c r="H5">
        <f>12.99/10000</f>
        <v>1.299E-3</v>
      </c>
      <c r="I5">
        <f>91.455/10000</f>
        <v>9.1454999999999991E-3</v>
      </c>
      <c r="J5">
        <f>356.817/10000</f>
        <v>3.5681700000000004E-2</v>
      </c>
    </row>
    <row r="6" spans="1:11" x14ac:dyDescent="0.25">
      <c r="A6" t="s">
        <v>5</v>
      </c>
      <c r="B6">
        <f>0.282/10000</f>
        <v>2.8199999999999998E-5</v>
      </c>
      <c r="C6">
        <f>0.484/10000</f>
        <v>4.8399999999999997E-5</v>
      </c>
      <c r="D6">
        <f>0.908/10000</f>
        <v>9.0799999999999998E-5</v>
      </c>
      <c r="E6">
        <f>1.743/10000</f>
        <v>1.7430000000000001E-4</v>
      </c>
      <c r="F6">
        <f>3.669/10000</f>
        <v>3.6690000000000003E-4</v>
      </c>
      <c r="G6">
        <f>9.118/10000</f>
        <v>9.1180000000000005E-4</v>
      </c>
      <c r="H6">
        <f>62.341/10000</f>
        <v>6.2341000000000002E-3</v>
      </c>
      <c r="I6">
        <f>298.889/10000</f>
        <v>2.9888899999999999E-2</v>
      </c>
      <c r="J6">
        <f>950.462/10000</f>
        <v>9.5046199999999997E-2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KONGKAEW, PUTTIWAT</dc:creator>
  <cp:lastModifiedBy>KONGKAEW, PUTTIWAT</cp:lastModifiedBy>
  <dcterms:created xsi:type="dcterms:W3CDTF">2024-11-06T15:32:36Z</dcterms:created>
  <dcterms:modified xsi:type="dcterms:W3CDTF">2024-11-06T16:58:48Z</dcterms:modified>
</cp:coreProperties>
</file>
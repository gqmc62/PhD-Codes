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gqmc62_durham_ac_uk/Documents/Documents/PhD/Codes/ThesisChapter4Plots/20250626/"/>
    </mc:Choice>
  </mc:AlternateContent>
  <xr:revisionPtr revIDLastSave="892" documentId="8_{435C0C40-9F88-4C25-ADD8-15461ACEBCD9}" xr6:coauthVersionLast="47" xr6:coauthVersionMax="47" xr10:uidLastSave="{BA0F7C89-3B0C-490F-99E5-5FE3FECC86BE}"/>
  <bookViews>
    <workbookView xWindow="28680" yWindow="-75" windowWidth="29040" windowHeight="15720" xr2:uid="{94808162-98A3-43B6-9F9D-A8828EF65DC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4" i="1" l="1"/>
  <c r="O114" i="1"/>
  <c r="P114" i="1"/>
  <c r="Q114" i="1"/>
  <c r="R114" i="1"/>
  <c r="S114" i="1"/>
  <c r="T114" i="1"/>
  <c r="U114" i="1"/>
  <c r="V114" i="1"/>
  <c r="W114" i="1"/>
  <c r="X114" i="1"/>
  <c r="Y114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N98" i="1"/>
  <c r="O98" i="1"/>
  <c r="P98" i="1"/>
  <c r="Q98" i="1"/>
  <c r="R98" i="1"/>
  <c r="S98" i="1"/>
  <c r="T98" i="1"/>
  <c r="U98" i="1"/>
  <c r="V98" i="1"/>
  <c r="W98" i="1"/>
  <c r="X98" i="1"/>
  <c r="Y98" i="1"/>
  <c r="N99" i="1"/>
  <c r="O99" i="1"/>
  <c r="P99" i="1"/>
  <c r="Q99" i="1"/>
  <c r="R99" i="1"/>
  <c r="S99" i="1"/>
  <c r="T99" i="1"/>
  <c r="U99" i="1"/>
  <c r="V99" i="1"/>
  <c r="W99" i="1"/>
  <c r="X99" i="1"/>
  <c r="Y99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O97" i="1"/>
  <c r="P97" i="1"/>
  <c r="Q97" i="1"/>
  <c r="R97" i="1"/>
  <c r="S97" i="1"/>
  <c r="T97" i="1"/>
  <c r="U97" i="1"/>
  <c r="V97" i="1"/>
  <c r="W97" i="1"/>
  <c r="X97" i="1"/>
  <c r="Y97" i="1"/>
  <c r="N97" i="1"/>
  <c r="P75" i="1"/>
  <c r="Q75" i="1"/>
  <c r="R75" i="1"/>
  <c r="S75" i="1"/>
  <c r="T75" i="1"/>
  <c r="U75" i="1"/>
  <c r="V75" i="1"/>
  <c r="V84" i="1" s="1"/>
  <c r="V92" i="1" s="1"/>
  <c r="W75" i="1"/>
  <c r="W84" i="1" s="1"/>
  <c r="W92" i="1" s="1"/>
  <c r="X75" i="1"/>
  <c r="Y75" i="1"/>
  <c r="P76" i="1"/>
  <c r="Q76" i="1"/>
  <c r="R76" i="1"/>
  <c r="S76" i="1"/>
  <c r="T76" i="1"/>
  <c r="T85" i="1" s="1"/>
  <c r="T92" i="1" s="1"/>
  <c r="U76" i="1"/>
  <c r="U85" i="1" s="1"/>
  <c r="U92" i="1" s="1"/>
  <c r="V76" i="1"/>
  <c r="W76" i="1"/>
  <c r="X76" i="1"/>
  <c r="Y76" i="1"/>
  <c r="P77" i="1"/>
  <c r="Q77" i="1"/>
  <c r="R77" i="1"/>
  <c r="R86" i="1" s="1"/>
  <c r="S77" i="1"/>
  <c r="S86" i="1" s="1"/>
  <c r="T77" i="1"/>
  <c r="U77" i="1"/>
  <c r="V77" i="1"/>
  <c r="W77" i="1"/>
  <c r="X77" i="1"/>
  <c r="Y77" i="1"/>
  <c r="P78" i="1"/>
  <c r="P87" i="1" s="1"/>
  <c r="Q78" i="1"/>
  <c r="Q87" i="1" s="1"/>
  <c r="R78" i="1"/>
  <c r="S78" i="1"/>
  <c r="T78" i="1"/>
  <c r="U78" i="1"/>
  <c r="V78" i="1"/>
  <c r="W78" i="1"/>
  <c r="X78" i="1"/>
  <c r="X87" i="1" s="1"/>
  <c r="Y78" i="1"/>
  <c r="Y87" i="1" s="1"/>
  <c r="P79" i="1"/>
  <c r="Q79" i="1"/>
  <c r="R79" i="1"/>
  <c r="S79" i="1"/>
  <c r="T79" i="1"/>
  <c r="U79" i="1"/>
  <c r="V79" i="1"/>
  <c r="V88" i="1" s="1"/>
  <c r="W79" i="1"/>
  <c r="W88" i="1" s="1"/>
  <c r="X79" i="1"/>
  <c r="Y79" i="1"/>
  <c r="P80" i="1"/>
  <c r="Q80" i="1"/>
  <c r="R80" i="1"/>
  <c r="S80" i="1"/>
  <c r="T80" i="1"/>
  <c r="T89" i="1" s="1"/>
  <c r="T91" i="1" s="1"/>
  <c r="T94" i="1" s="1"/>
  <c r="U80" i="1"/>
  <c r="U89" i="1" s="1"/>
  <c r="U91" i="1" s="1"/>
  <c r="U94" i="1" s="1"/>
  <c r="V80" i="1"/>
  <c r="W80" i="1"/>
  <c r="X80" i="1"/>
  <c r="Y80" i="1"/>
  <c r="P81" i="1"/>
  <c r="Q81" i="1"/>
  <c r="R81" i="1"/>
  <c r="R84" i="1" s="1"/>
  <c r="R92" i="1" s="1"/>
  <c r="R93" i="1" s="1"/>
  <c r="S81" i="1"/>
  <c r="S84" i="1" s="1"/>
  <c r="S92" i="1" s="1"/>
  <c r="T81" i="1"/>
  <c r="U81" i="1"/>
  <c r="V81" i="1"/>
  <c r="W81" i="1"/>
  <c r="X81" i="1"/>
  <c r="Y81" i="1"/>
  <c r="P82" i="1"/>
  <c r="P85" i="1" s="1"/>
  <c r="P92" i="1" s="1"/>
  <c r="Q82" i="1"/>
  <c r="Q85" i="1" s="1"/>
  <c r="Q92" i="1" s="1"/>
  <c r="R82" i="1"/>
  <c r="S82" i="1"/>
  <c r="T82" i="1"/>
  <c r="U82" i="1"/>
  <c r="V82" i="1"/>
  <c r="W82" i="1"/>
  <c r="X82" i="1"/>
  <c r="X85" i="1" s="1"/>
  <c r="X92" i="1" s="1"/>
  <c r="Y82" i="1"/>
  <c r="Y85" i="1" s="1"/>
  <c r="Y92" i="1" s="1"/>
  <c r="P83" i="1"/>
  <c r="Q83" i="1"/>
  <c r="R83" i="1"/>
  <c r="S83" i="1"/>
  <c r="T83" i="1"/>
  <c r="U83" i="1"/>
  <c r="V83" i="1"/>
  <c r="V89" i="1" s="1"/>
  <c r="V91" i="1" s="1"/>
  <c r="V94" i="1" s="1"/>
  <c r="W83" i="1"/>
  <c r="W89" i="1" s="1"/>
  <c r="W91" i="1" s="1"/>
  <c r="W94" i="1" s="1"/>
  <c r="X83" i="1"/>
  <c r="Y83" i="1"/>
  <c r="P84" i="1"/>
  <c r="Q84" i="1"/>
  <c r="T84" i="1"/>
  <c r="U84" i="1"/>
  <c r="X84" i="1"/>
  <c r="Y84" i="1"/>
  <c r="R85" i="1"/>
  <c r="S85" i="1"/>
  <c r="V85" i="1"/>
  <c r="W85" i="1"/>
  <c r="P86" i="1"/>
  <c r="Q86" i="1"/>
  <c r="T86" i="1"/>
  <c r="U86" i="1"/>
  <c r="X86" i="1"/>
  <c r="Y86" i="1"/>
  <c r="R87" i="1"/>
  <c r="S87" i="1"/>
  <c r="T87" i="1"/>
  <c r="U87" i="1"/>
  <c r="U90" i="1" s="1"/>
  <c r="V87" i="1"/>
  <c r="V90" i="1" s="1"/>
  <c r="V93" i="1" s="1"/>
  <c r="W87" i="1"/>
  <c r="W90" i="1" s="1"/>
  <c r="W93" i="1" s="1"/>
  <c r="P88" i="1"/>
  <c r="Q88" i="1"/>
  <c r="R88" i="1"/>
  <c r="S88" i="1"/>
  <c r="S90" i="1" s="1"/>
  <c r="T88" i="1"/>
  <c r="T90" i="1" s="1"/>
  <c r="U88" i="1"/>
  <c r="X88" i="1"/>
  <c r="Y88" i="1"/>
  <c r="P89" i="1"/>
  <c r="Q89" i="1"/>
  <c r="R89" i="1"/>
  <c r="R91" i="1" s="1"/>
  <c r="S89" i="1"/>
  <c r="S91" i="1" s="1"/>
  <c r="X89" i="1"/>
  <c r="Y89" i="1"/>
  <c r="R90" i="1"/>
  <c r="O82" i="1"/>
  <c r="P11" i="1"/>
  <c r="O11" i="1"/>
  <c r="N78" i="1"/>
  <c r="O78" i="1"/>
  <c r="O80" i="1"/>
  <c r="N77" i="1"/>
  <c r="O77" i="1"/>
  <c r="N81" i="1"/>
  <c r="O81" i="1"/>
  <c r="N82" i="1"/>
  <c r="N87" i="1"/>
  <c r="N88" i="1"/>
  <c r="N86" i="1"/>
  <c r="N74" i="1"/>
  <c r="A14" i="3"/>
  <c r="A12" i="3"/>
  <c r="G10" i="3"/>
  <c r="G8" i="3"/>
  <c r="F8" i="3"/>
  <c r="E8" i="3"/>
  <c r="D8" i="3"/>
  <c r="C8" i="3"/>
  <c r="B8" i="3"/>
  <c r="A8" i="3"/>
  <c r="B7" i="3"/>
  <c r="A7" i="3"/>
  <c r="A6" i="3"/>
  <c r="G5" i="3"/>
  <c r="A5" i="3"/>
  <c r="G4" i="3"/>
  <c r="F4" i="3"/>
  <c r="E4" i="3"/>
  <c r="D4" i="3"/>
  <c r="C4" i="3"/>
  <c r="B4" i="3"/>
  <c r="A4" i="3"/>
  <c r="G3" i="3"/>
  <c r="E3" i="3"/>
  <c r="F2" i="3"/>
  <c r="E2" i="3"/>
  <c r="D2" i="3"/>
  <c r="G10" i="2"/>
  <c r="C8" i="2"/>
  <c r="D8" i="2"/>
  <c r="E8" i="2"/>
  <c r="F8" i="2"/>
  <c r="G8" i="2"/>
  <c r="B8" i="2"/>
  <c r="F4" i="2"/>
  <c r="B2" i="2"/>
  <c r="B3" i="2"/>
  <c r="C3" i="2"/>
  <c r="D3" i="2"/>
  <c r="G5" i="2"/>
  <c r="B7" i="2"/>
  <c r="A4" i="2"/>
  <c r="B4" i="2"/>
  <c r="C4" i="2"/>
  <c r="D4" i="2"/>
  <c r="E4" i="2"/>
  <c r="G4" i="2"/>
  <c r="A8" i="2"/>
  <c r="A15" i="2"/>
  <c r="A16" i="2"/>
  <c r="A17" i="2"/>
  <c r="A14" i="2"/>
  <c r="F84" i="1"/>
  <c r="H84" i="1"/>
  <c r="A88" i="1"/>
  <c r="A17" i="3" s="1"/>
  <c r="C36" i="1"/>
  <c r="C64" i="1" s="1"/>
  <c r="C84" i="1" s="1"/>
  <c r="D36" i="1"/>
  <c r="E36" i="1"/>
  <c r="E64" i="1" s="1"/>
  <c r="E84" i="1" s="1"/>
  <c r="F36" i="1"/>
  <c r="F64" i="1" s="1"/>
  <c r="G36" i="1"/>
  <c r="G64" i="1" s="1"/>
  <c r="G84" i="1" s="1"/>
  <c r="H36" i="1"/>
  <c r="H64" i="1" s="1"/>
  <c r="I36" i="1"/>
  <c r="I64" i="1" s="1"/>
  <c r="I84" i="1" s="1"/>
  <c r="J36" i="1"/>
  <c r="J64" i="1" s="1"/>
  <c r="J84" i="1" s="1"/>
  <c r="K36" i="1"/>
  <c r="L36" i="1"/>
  <c r="L64" i="1" s="1"/>
  <c r="L84" i="1" s="1"/>
  <c r="C37" i="1"/>
  <c r="D37" i="1"/>
  <c r="D65" i="1" s="1"/>
  <c r="D85" i="1" s="1"/>
  <c r="E37" i="1"/>
  <c r="E65" i="1" s="1"/>
  <c r="E85" i="1" s="1"/>
  <c r="F37" i="1"/>
  <c r="F65" i="1" s="1"/>
  <c r="F85" i="1" s="1"/>
  <c r="G37" i="1"/>
  <c r="G65" i="1" s="1"/>
  <c r="G85" i="1" s="1"/>
  <c r="H37" i="1"/>
  <c r="H65" i="1" s="1"/>
  <c r="H85" i="1" s="1"/>
  <c r="I37" i="1"/>
  <c r="I65" i="1" s="1"/>
  <c r="I85" i="1" s="1"/>
  <c r="J37" i="1"/>
  <c r="J65" i="1" s="1"/>
  <c r="J85" i="1" s="1"/>
  <c r="K37" i="1"/>
  <c r="K65" i="1" s="1"/>
  <c r="K85" i="1" s="1"/>
  <c r="L37" i="1"/>
  <c r="L65" i="1" s="1"/>
  <c r="L85" i="1" s="1"/>
  <c r="B36" i="1"/>
  <c r="B64" i="1" s="1"/>
  <c r="B84" i="1" s="1"/>
  <c r="A79" i="1"/>
  <c r="N80" i="1" s="1"/>
  <c r="F74" i="1"/>
  <c r="S74" i="1" s="1"/>
  <c r="A74" i="1"/>
  <c r="A1" i="2" s="1"/>
  <c r="C57" i="1"/>
  <c r="C63" i="1" s="1"/>
  <c r="D57" i="1"/>
  <c r="D63" i="1" s="1"/>
  <c r="E57" i="1"/>
  <c r="E63" i="1" s="1"/>
  <c r="F57" i="1"/>
  <c r="F63" i="1" s="1"/>
  <c r="G57" i="1"/>
  <c r="G63" i="1" s="1"/>
  <c r="H57" i="1"/>
  <c r="H63" i="1" s="1"/>
  <c r="I57" i="1"/>
  <c r="I63" i="1" s="1"/>
  <c r="J57" i="1"/>
  <c r="J63" i="1" s="1"/>
  <c r="K57" i="1"/>
  <c r="K63" i="1" s="1"/>
  <c r="L57" i="1"/>
  <c r="L63" i="1" s="1"/>
  <c r="B57" i="1"/>
  <c r="B63" i="1" s="1"/>
  <c r="A72" i="1"/>
  <c r="A71" i="1"/>
  <c r="A91" i="1" s="1"/>
  <c r="A20" i="2" s="1"/>
  <c r="C62" i="1"/>
  <c r="C79" i="1" s="1"/>
  <c r="C7" i="2" s="1"/>
  <c r="D62" i="1"/>
  <c r="D79" i="1" s="1"/>
  <c r="E62" i="1"/>
  <c r="E79" i="1" s="1"/>
  <c r="F62" i="1"/>
  <c r="F79" i="1" s="1"/>
  <c r="G62" i="1"/>
  <c r="G79" i="1" s="1"/>
  <c r="F7" i="3" s="1"/>
  <c r="H62" i="1"/>
  <c r="H79" i="1" s="1"/>
  <c r="I62" i="1"/>
  <c r="I79" i="1" s="1"/>
  <c r="G7" i="3" s="1"/>
  <c r="J62" i="1"/>
  <c r="J79" i="1" s="1"/>
  <c r="K62" i="1"/>
  <c r="K79" i="1" s="1"/>
  <c r="L62" i="1"/>
  <c r="L79" i="1" s="1"/>
  <c r="B62" i="1"/>
  <c r="B79" i="1" s="1"/>
  <c r="C53" i="1"/>
  <c r="C81" i="1" s="1"/>
  <c r="D53" i="1"/>
  <c r="D81" i="1" s="1"/>
  <c r="E53" i="1"/>
  <c r="E81" i="1" s="1"/>
  <c r="F53" i="1"/>
  <c r="F81" i="1" s="1"/>
  <c r="G53" i="1"/>
  <c r="G81" i="1" s="1"/>
  <c r="H53" i="1"/>
  <c r="H81" i="1" s="1"/>
  <c r="I53" i="1"/>
  <c r="I81" i="1" s="1"/>
  <c r="J53" i="1"/>
  <c r="J81" i="1" s="1"/>
  <c r="K53" i="1"/>
  <c r="K81" i="1" s="1"/>
  <c r="L53" i="1"/>
  <c r="L81" i="1" s="1"/>
  <c r="B53" i="1"/>
  <c r="B81" i="1" s="1"/>
  <c r="C65" i="1"/>
  <c r="C85" i="1" s="1"/>
  <c r="B37" i="1"/>
  <c r="B65" i="1" s="1"/>
  <c r="B85" i="1" s="1"/>
  <c r="B58" i="1"/>
  <c r="B75" i="1" s="1"/>
  <c r="B2" i="3" s="1"/>
  <c r="C58" i="1"/>
  <c r="C75" i="1" s="1"/>
  <c r="C2" i="3" s="1"/>
  <c r="D58" i="1"/>
  <c r="D75" i="1" s="1"/>
  <c r="E58" i="1"/>
  <c r="E75" i="1" s="1"/>
  <c r="F58" i="1"/>
  <c r="F75" i="1" s="1"/>
  <c r="G58" i="1"/>
  <c r="G75" i="1" s="1"/>
  <c r="F2" i="2" s="1"/>
  <c r="H58" i="1"/>
  <c r="H75" i="1" s="1"/>
  <c r="I58" i="1"/>
  <c r="I75" i="1" s="1"/>
  <c r="G2" i="2" s="1"/>
  <c r="J58" i="1"/>
  <c r="J75" i="1" s="1"/>
  <c r="K58" i="1"/>
  <c r="K75" i="1" s="1"/>
  <c r="L58" i="1"/>
  <c r="L75" i="1" s="1"/>
  <c r="B59" i="1"/>
  <c r="B76" i="1" s="1"/>
  <c r="O76" i="1" s="1"/>
  <c r="C59" i="1"/>
  <c r="C76" i="1" s="1"/>
  <c r="C3" i="3" s="1"/>
  <c r="D59" i="1"/>
  <c r="D76" i="1" s="1"/>
  <c r="D3" i="3" s="1"/>
  <c r="E59" i="1"/>
  <c r="E76" i="1" s="1"/>
  <c r="E3" i="2" s="1"/>
  <c r="F59" i="1"/>
  <c r="F76" i="1" s="1"/>
  <c r="G59" i="1"/>
  <c r="G76" i="1" s="1"/>
  <c r="F3" i="2" s="1"/>
  <c r="H59" i="1"/>
  <c r="H76" i="1" s="1"/>
  <c r="I59" i="1"/>
  <c r="I76" i="1" s="1"/>
  <c r="J59" i="1"/>
  <c r="J76" i="1" s="1"/>
  <c r="K59" i="1"/>
  <c r="K76" i="1" s="1"/>
  <c r="L59" i="1"/>
  <c r="L76" i="1" s="1"/>
  <c r="B60" i="1"/>
  <c r="B77" i="1" s="1"/>
  <c r="B5" i="2" s="1"/>
  <c r="C60" i="1"/>
  <c r="C77" i="1" s="1"/>
  <c r="C5" i="3" s="1"/>
  <c r="D60" i="1"/>
  <c r="D77" i="1" s="1"/>
  <c r="E60" i="1"/>
  <c r="E77" i="1" s="1"/>
  <c r="F60" i="1"/>
  <c r="F77" i="1" s="1"/>
  <c r="G60" i="1"/>
  <c r="G77" i="1" s="1"/>
  <c r="F5" i="3" s="1"/>
  <c r="H60" i="1"/>
  <c r="H77" i="1" s="1"/>
  <c r="I60" i="1"/>
  <c r="I77" i="1" s="1"/>
  <c r="J60" i="1"/>
  <c r="J77" i="1" s="1"/>
  <c r="K60" i="1"/>
  <c r="K77" i="1" s="1"/>
  <c r="L60" i="1"/>
  <c r="L77" i="1" s="1"/>
  <c r="B61" i="1"/>
  <c r="B78" i="1" s="1"/>
  <c r="B6" i="2" s="1"/>
  <c r="C61" i="1"/>
  <c r="C78" i="1" s="1"/>
  <c r="C6" i="2" s="1"/>
  <c r="D61" i="1"/>
  <c r="D78" i="1" s="1"/>
  <c r="D6" i="3" s="1"/>
  <c r="E61" i="1"/>
  <c r="E78" i="1" s="1"/>
  <c r="E6" i="3" s="1"/>
  <c r="F61" i="1"/>
  <c r="F78" i="1" s="1"/>
  <c r="G61" i="1"/>
  <c r="G78" i="1" s="1"/>
  <c r="F6" i="3" s="1"/>
  <c r="H61" i="1"/>
  <c r="H78" i="1" s="1"/>
  <c r="I61" i="1"/>
  <c r="I78" i="1" s="1"/>
  <c r="G6" i="3" s="1"/>
  <c r="J61" i="1"/>
  <c r="J78" i="1" s="1"/>
  <c r="K61" i="1"/>
  <c r="K78" i="1" s="1"/>
  <c r="L61" i="1"/>
  <c r="L78" i="1" s="1"/>
  <c r="A59" i="1"/>
  <c r="A76" i="1" s="1"/>
  <c r="N76" i="1" s="1"/>
  <c r="A60" i="1"/>
  <c r="A77" i="1" s="1"/>
  <c r="A5" i="2" s="1"/>
  <c r="A61" i="1"/>
  <c r="A78" i="1" s="1"/>
  <c r="A6" i="2" s="1"/>
  <c r="A58" i="1"/>
  <c r="A75" i="1" s="1"/>
  <c r="A2" i="3" s="1"/>
  <c r="A70" i="1"/>
  <c r="A69" i="1"/>
  <c r="A90" i="1" s="1"/>
  <c r="A19" i="2" s="1"/>
  <c r="A67" i="1"/>
  <c r="A87" i="1" s="1"/>
  <c r="A16" i="3" s="1"/>
  <c r="A65" i="1"/>
  <c r="A85" i="1" s="1"/>
  <c r="N85" i="1" s="1"/>
  <c r="A66" i="1"/>
  <c r="A86" i="1" s="1"/>
  <c r="A15" i="3" s="1"/>
  <c r="A64" i="1"/>
  <c r="A84" i="1" s="1"/>
  <c r="N84" i="1" s="1"/>
  <c r="A56" i="1"/>
  <c r="A55" i="1"/>
  <c r="A52" i="1"/>
  <c r="F52" i="1"/>
  <c r="F10" i="2" s="1"/>
  <c r="G52" i="1"/>
  <c r="H52" i="1"/>
  <c r="I52" i="1"/>
  <c r="J52" i="1"/>
  <c r="K52" i="1"/>
  <c r="L52" i="1"/>
  <c r="B48" i="1"/>
  <c r="C48" i="1"/>
  <c r="D48" i="1"/>
  <c r="E48" i="1"/>
  <c r="F48" i="1"/>
  <c r="G48" i="1"/>
  <c r="H48" i="1"/>
  <c r="I48" i="1"/>
  <c r="J48" i="1"/>
  <c r="K48" i="1"/>
  <c r="L48" i="1"/>
  <c r="A48" i="1"/>
  <c r="A51" i="1"/>
  <c r="B51" i="1"/>
  <c r="C51" i="1"/>
  <c r="D51" i="1"/>
  <c r="E51" i="1"/>
  <c r="F51" i="1"/>
  <c r="G51" i="1"/>
  <c r="H51" i="1"/>
  <c r="I51" i="1"/>
  <c r="J51" i="1"/>
  <c r="K51" i="1"/>
  <c r="L51" i="1"/>
  <c r="K49" i="1"/>
  <c r="L49" i="1"/>
  <c r="A49" i="1"/>
  <c r="C47" i="1"/>
  <c r="D47" i="1"/>
  <c r="E47" i="1"/>
  <c r="F47" i="1"/>
  <c r="G47" i="1"/>
  <c r="H47" i="1"/>
  <c r="I47" i="1"/>
  <c r="J47" i="1"/>
  <c r="K47" i="1"/>
  <c r="L47" i="1"/>
  <c r="B47" i="1"/>
  <c r="C15" i="1"/>
  <c r="C52" i="1" s="1"/>
  <c r="C10" i="3" s="1"/>
  <c r="D15" i="1"/>
  <c r="E15" i="1"/>
  <c r="B15" i="1"/>
  <c r="B52" i="1" s="1"/>
  <c r="B10" i="3" s="1"/>
  <c r="L27" i="1"/>
  <c r="L28" i="1" s="1"/>
  <c r="L26" i="1"/>
  <c r="L18" i="1"/>
  <c r="L13" i="1"/>
  <c r="L21" i="1" s="1"/>
  <c r="L10" i="1"/>
  <c r="L7" i="1"/>
  <c r="D64" i="1"/>
  <c r="D84" i="1" s="1"/>
  <c r="K64" i="1"/>
  <c r="K84" i="1" s="1"/>
  <c r="C7" i="1"/>
  <c r="D7" i="1"/>
  <c r="E7" i="1"/>
  <c r="F7" i="1"/>
  <c r="G7" i="1"/>
  <c r="H7" i="1"/>
  <c r="I7" i="1"/>
  <c r="J7" i="1"/>
  <c r="K7" i="1"/>
  <c r="B7" i="1"/>
  <c r="K26" i="1"/>
  <c r="K27" i="1"/>
  <c r="K28" i="1" s="1"/>
  <c r="K18" i="1"/>
  <c r="K13" i="1"/>
  <c r="K10" i="1"/>
  <c r="F11" i="1"/>
  <c r="F27" i="1" s="1"/>
  <c r="F28" i="1" s="1"/>
  <c r="F38" i="1" s="1"/>
  <c r="G11" i="1"/>
  <c r="G27" i="1" s="1"/>
  <c r="G28" i="1" s="1"/>
  <c r="H11" i="1"/>
  <c r="H13" i="1" s="1"/>
  <c r="I11" i="1"/>
  <c r="I27" i="1" s="1"/>
  <c r="I28" i="1" s="1"/>
  <c r="J11" i="1"/>
  <c r="J13" i="1" s="1"/>
  <c r="J21" i="1" s="1"/>
  <c r="I26" i="1"/>
  <c r="J26" i="1"/>
  <c r="I18" i="1"/>
  <c r="I19" i="1" s="1"/>
  <c r="J18" i="1"/>
  <c r="F26" i="1"/>
  <c r="G26" i="1"/>
  <c r="F18" i="1"/>
  <c r="G18" i="1"/>
  <c r="H26" i="1"/>
  <c r="H18" i="1"/>
  <c r="H19" i="1" s="1"/>
  <c r="D26" i="1"/>
  <c r="E26" i="1"/>
  <c r="D18" i="1"/>
  <c r="E18" i="1"/>
  <c r="D11" i="1"/>
  <c r="D27" i="1" s="1"/>
  <c r="D28" i="1" s="1"/>
  <c r="E11" i="1"/>
  <c r="E13" i="1" s="1"/>
  <c r="C26" i="1"/>
  <c r="C18" i="1"/>
  <c r="C11" i="1"/>
  <c r="C13" i="1" s="1"/>
  <c r="B11" i="1"/>
  <c r="B13" i="1" s="1"/>
  <c r="B26" i="1"/>
  <c r="B18" i="1"/>
  <c r="Y91" i="1" l="1"/>
  <c r="Y94" i="1" s="1"/>
  <c r="Y90" i="1"/>
  <c r="Y93" i="1" s="1"/>
  <c r="U93" i="1"/>
  <c r="X91" i="1"/>
  <c r="X94" i="1" s="1"/>
  <c r="X90" i="1"/>
  <c r="X93" i="1" s="1"/>
  <c r="T93" i="1"/>
  <c r="P91" i="1"/>
  <c r="P94" i="1" s="1"/>
  <c r="P90" i="1"/>
  <c r="P93" i="1" s="1"/>
  <c r="S94" i="1"/>
  <c r="Q91" i="1"/>
  <c r="Q94" i="1" s="1"/>
  <c r="Q90" i="1"/>
  <c r="Q93" i="1" s="1"/>
  <c r="S93" i="1"/>
  <c r="R94" i="1"/>
  <c r="W86" i="1"/>
  <c r="V86" i="1"/>
  <c r="I83" i="1"/>
  <c r="B10" i="2"/>
  <c r="F10" i="3"/>
  <c r="A19" i="3"/>
  <c r="A7" i="2"/>
  <c r="E5" i="2"/>
  <c r="A2" i="2"/>
  <c r="F3" i="3"/>
  <c r="A20" i="3"/>
  <c r="N91" i="1"/>
  <c r="O75" i="1"/>
  <c r="G6" i="2"/>
  <c r="D5" i="2"/>
  <c r="B6" i="3"/>
  <c r="C7" i="3"/>
  <c r="N75" i="1"/>
  <c r="A13" i="2"/>
  <c r="E6" i="2"/>
  <c r="C5" i="2"/>
  <c r="A3" i="2"/>
  <c r="F7" i="2"/>
  <c r="G2" i="3"/>
  <c r="B5" i="3"/>
  <c r="C6" i="3"/>
  <c r="D7" i="3"/>
  <c r="A13" i="3"/>
  <c r="A12" i="2"/>
  <c r="G7" i="2"/>
  <c r="D6" i="2"/>
  <c r="F6" i="2"/>
  <c r="F16" i="2" s="1"/>
  <c r="F9" i="2"/>
  <c r="F11" i="2" s="1"/>
  <c r="F13" i="2" s="1"/>
  <c r="A3" i="3"/>
  <c r="E7" i="3"/>
  <c r="E7" i="2"/>
  <c r="E2" i="2"/>
  <c r="F5" i="2"/>
  <c r="F15" i="2" s="1"/>
  <c r="C10" i="2"/>
  <c r="B3" i="3"/>
  <c r="D5" i="3"/>
  <c r="N90" i="1"/>
  <c r="N89" i="1"/>
  <c r="O79" i="1"/>
  <c r="D7" i="2"/>
  <c r="G3" i="2"/>
  <c r="D2" i="2"/>
  <c r="D12" i="2" s="1"/>
  <c r="A1" i="3"/>
  <c r="E5" i="3"/>
  <c r="N79" i="1"/>
  <c r="C2" i="2"/>
  <c r="F14" i="2"/>
  <c r="F17" i="3"/>
  <c r="G12" i="3"/>
  <c r="C12" i="2"/>
  <c r="E12" i="3"/>
  <c r="E12" i="2"/>
  <c r="G12" i="2"/>
  <c r="C12" i="3"/>
  <c r="B12" i="3"/>
  <c r="F12" i="2"/>
  <c r="B12" i="2"/>
  <c r="D12" i="3"/>
  <c r="F12" i="3"/>
  <c r="G74" i="1"/>
  <c r="L74" i="1"/>
  <c r="Y74" i="1" s="1"/>
  <c r="B54" i="1"/>
  <c r="B82" i="1" s="1"/>
  <c r="D74" i="1"/>
  <c r="L54" i="1"/>
  <c r="L82" i="1" s="1"/>
  <c r="K54" i="1"/>
  <c r="K82" i="1" s="1"/>
  <c r="E54" i="1"/>
  <c r="E82" i="1" s="1"/>
  <c r="J54" i="1"/>
  <c r="J82" i="1" s="1"/>
  <c r="E74" i="1"/>
  <c r="D54" i="1"/>
  <c r="D82" i="1" s="1"/>
  <c r="C54" i="1"/>
  <c r="C82" i="1" s="1"/>
  <c r="H54" i="1"/>
  <c r="H82" i="1" s="1"/>
  <c r="K74" i="1"/>
  <c r="X74" i="1" s="1"/>
  <c r="C74" i="1"/>
  <c r="G54" i="1"/>
  <c r="G82" i="1" s="1"/>
  <c r="J74" i="1"/>
  <c r="W74" i="1" s="1"/>
  <c r="B74" i="1"/>
  <c r="I54" i="1"/>
  <c r="I82" i="1" s="1"/>
  <c r="F54" i="1"/>
  <c r="F82" i="1" s="1"/>
  <c r="I74" i="1"/>
  <c r="H74" i="1"/>
  <c r="U74" i="1" s="1"/>
  <c r="L38" i="1"/>
  <c r="L40" i="1"/>
  <c r="L68" i="1" s="1"/>
  <c r="L88" i="1" s="1"/>
  <c r="L50" i="1"/>
  <c r="L83" i="1" s="1"/>
  <c r="L39" i="1"/>
  <c r="G38" i="1"/>
  <c r="G40" i="1"/>
  <c r="G68" i="1" s="1"/>
  <c r="G88" i="1" s="1"/>
  <c r="G39" i="1"/>
  <c r="G67" i="1" s="1"/>
  <c r="G87" i="1" s="1"/>
  <c r="G50" i="1"/>
  <c r="G9" i="3" s="1"/>
  <c r="K40" i="1"/>
  <c r="K68" i="1" s="1"/>
  <c r="K88" i="1" s="1"/>
  <c r="K50" i="1"/>
  <c r="K83" i="1" s="1"/>
  <c r="K39" i="1"/>
  <c r="K67" i="1" s="1"/>
  <c r="K87" i="1" s="1"/>
  <c r="K38" i="1"/>
  <c r="D38" i="1"/>
  <c r="D50" i="1"/>
  <c r="D39" i="1"/>
  <c r="D67" i="1" s="1"/>
  <c r="D87" i="1" s="1"/>
  <c r="I39" i="1"/>
  <c r="I67" i="1" s="1"/>
  <c r="I87" i="1" s="1"/>
  <c r="I40" i="1"/>
  <c r="I68" i="1" s="1"/>
  <c r="I88" i="1" s="1"/>
  <c r="I50" i="1"/>
  <c r="I38" i="1"/>
  <c r="F50" i="1"/>
  <c r="F9" i="3" s="1"/>
  <c r="F16" i="3" s="1"/>
  <c r="F39" i="1"/>
  <c r="F67" i="1" s="1"/>
  <c r="F87" i="1" s="1"/>
  <c r="F40" i="1"/>
  <c r="D40" i="1"/>
  <c r="D68" i="1" s="1"/>
  <c r="D88" i="1" s="1"/>
  <c r="C49" i="1"/>
  <c r="B49" i="1"/>
  <c r="D49" i="1"/>
  <c r="L20" i="1"/>
  <c r="L22" i="1" s="1"/>
  <c r="E49" i="1"/>
  <c r="E52" i="1"/>
  <c r="L19" i="1"/>
  <c r="L24" i="1" s="1"/>
  <c r="L55" i="1" s="1"/>
  <c r="I49" i="1"/>
  <c r="D52" i="1"/>
  <c r="H49" i="1"/>
  <c r="G49" i="1"/>
  <c r="J49" i="1"/>
  <c r="F49" i="1"/>
  <c r="E19" i="1"/>
  <c r="E24" i="1" s="1"/>
  <c r="E55" i="1" s="1"/>
  <c r="C19" i="1"/>
  <c r="C24" i="1" s="1"/>
  <c r="C55" i="1" s="1"/>
  <c r="D19" i="1"/>
  <c r="F20" i="1"/>
  <c r="G20" i="1"/>
  <c r="F19" i="1"/>
  <c r="J20" i="1"/>
  <c r="G13" i="1"/>
  <c r="G21" i="1" s="1"/>
  <c r="G19" i="1"/>
  <c r="J19" i="1"/>
  <c r="J24" i="1" s="1"/>
  <c r="J55" i="1" s="1"/>
  <c r="K19" i="1"/>
  <c r="K24" i="1" s="1"/>
  <c r="K55" i="1" s="1"/>
  <c r="B20" i="1"/>
  <c r="B25" i="1" s="1"/>
  <c r="B56" i="1" s="1"/>
  <c r="I20" i="1"/>
  <c r="H20" i="1"/>
  <c r="E20" i="1"/>
  <c r="E22" i="1" s="1"/>
  <c r="D20" i="1"/>
  <c r="K20" i="1"/>
  <c r="K22" i="1" s="1"/>
  <c r="C20" i="1"/>
  <c r="C22" i="1" s="1"/>
  <c r="B19" i="1"/>
  <c r="B24" i="1" s="1"/>
  <c r="B55" i="1" s="1"/>
  <c r="J27" i="1"/>
  <c r="J28" i="1" s="1"/>
  <c r="D13" i="1"/>
  <c r="D21" i="1" s="1"/>
  <c r="F13" i="1"/>
  <c r="F21" i="1" s="1"/>
  <c r="C27" i="1"/>
  <c r="H27" i="1"/>
  <c r="H28" i="1" s="1"/>
  <c r="E21" i="1"/>
  <c r="E27" i="1"/>
  <c r="E28" i="1" s="1"/>
  <c r="K21" i="1"/>
  <c r="I13" i="1"/>
  <c r="I21" i="1" s="1"/>
  <c r="B27" i="1"/>
  <c r="B28" i="1" s="1"/>
  <c r="H21" i="1"/>
  <c r="H24" i="1"/>
  <c r="H55" i="1" s="1"/>
  <c r="C21" i="1"/>
  <c r="B21" i="1"/>
  <c r="F20" i="2" l="1"/>
  <c r="F19" i="2"/>
  <c r="G16" i="3"/>
  <c r="G15" i="3"/>
  <c r="G17" i="3"/>
  <c r="G14" i="3"/>
  <c r="G11" i="3"/>
  <c r="G13" i="3" s="1"/>
  <c r="G16" i="2"/>
  <c r="D15" i="3"/>
  <c r="D20" i="3" s="1"/>
  <c r="D89" i="1"/>
  <c r="D83" i="1"/>
  <c r="D9" i="3"/>
  <c r="O85" i="1"/>
  <c r="F17" i="2"/>
  <c r="G83" i="1"/>
  <c r="D17" i="3"/>
  <c r="D1" i="2"/>
  <c r="D1" i="3"/>
  <c r="Q74" i="1"/>
  <c r="G17" i="2"/>
  <c r="B1" i="3"/>
  <c r="B1" i="2"/>
  <c r="O74" i="1"/>
  <c r="R74" i="1"/>
  <c r="E1" i="3"/>
  <c r="E1" i="2"/>
  <c r="T74" i="1"/>
  <c r="F1" i="3"/>
  <c r="F1" i="2"/>
  <c r="F15" i="3"/>
  <c r="F20" i="3" s="1"/>
  <c r="F11" i="3"/>
  <c r="F13" i="3" s="1"/>
  <c r="D9" i="2"/>
  <c r="D17" i="2" s="1"/>
  <c r="D10" i="3"/>
  <c r="D10" i="2"/>
  <c r="E10" i="3"/>
  <c r="E10" i="2"/>
  <c r="G9" i="2"/>
  <c r="F14" i="3"/>
  <c r="F83" i="1"/>
  <c r="C1" i="2"/>
  <c r="P74" i="1"/>
  <c r="C1" i="3"/>
  <c r="G1" i="3"/>
  <c r="V74" i="1"/>
  <c r="G1" i="2"/>
  <c r="O84" i="1"/>
  <c r="G18" i="3"/>
  <c r="F18" i="2"/>
  <c r="F19" i="3"/>
  <c r="F18" i="3"/>
  <c r="F89" i="1"/>
  <c r="L89" i="1"/>
  <c r="I89" i="1"/>
  <c r="K89" i="1"/>
  <c r="G89" i="1"/>
  <c r="L43" i="1"/>
  <c r="L69" i="1" s="1"/>
  <c r="L90" i="1" s="1"/>
  <c r="F68" i="1"/>
  <c r="F88" i="1" s="1"/>
  <c r="F44" i="1"/>
  <c r="F71" i="1" s="1"/>
  <c r="F91" i="1" s="1"/>
  <c r="D44" i="1"/>
  <c r="D71" i="1" s="1"/>
  <c r="D91" i="1" s="1"/>
  <c r="D45" i="1"/>
  <c r="D72" i="1" s="1"/>
  <c r="G45" i="1"/>
  <c r="G72" i="1" s="1"/>
  <c r="G44" i="1"/>
  <c r="G71" i="1" s="1"/>
  <c r="G91" i="1" s="1"/>
  <c r="I44" i="1"/>
  <c r="I71" i="1" s="1"/>
  <c r="I91" i="1" s="1"/>
  <c r="I45" i="1"/>
  <c r="I72" i="1" s="1"/>
  <c r="L45" i="1"/>
  <c r="L72" i="1" s="1"/>
  <c r="L44" i="1"/>
  <c r="L71" i="1" s="1"/>
  <c r="L91" i="1" s="1"/>
  <c r="K45" i="1"/>
  <c r="K72" i="1" s="1"/>
  <c r="K44" i="1"/>
  <c r="K71" i="1" s="1"/>
  <c r="K91" i="1" s="1"/>
  <c r="F45" i="1"/>
  <c r="F72" i="1" s="1"/>
  <c r="E38" i="1"/>
  <c r="E50" i="1"/>
  <c r="E39" i="1"/>
  <c r="E67" i="1" s="1"/>
  <c r="E87" i="1" s="1"/>
  <c r="E40" i="1"/>
  <c r="E68" i="1" s="1"/>
  <c r="E88" i="1" s="1"/>
  <c r="B38" i="1"/>
  <c r="B50" i="1"/>
  <c r="B39" i="1"/>
  <c r="B67" i="1" s="1"/>
  <c r="B87" i="1" s="1"/>
  <c r="B40" i="1"/>
  <c r="B68" i="1" s="1"/>
  <c r="B88" i="1" s="1"/>
  <c r="J50" i="1"/>
  <c r="J83" i="1" s="1"/>
  <c r="J39" i="1"/>
  <c r="J67" i="1" s="1"/>
  <c r="J87" i="1" s="1"/>
  <c r="J40" i="1"/>
  <c r="J68" i="1" s="1"/>
  <c r="J88" i="1" s="1"/>
  <c r="J38" i="1"/>
  <c r="H39" i="1"/>
  <c r="H67" i="1" s="1"/>
  <c r="H87" i="1" s="1"/>
  <c r="H38" i="1"/>
  <c r="H50" i="1"/>
  <c r="H40" i="1"/>
  <c r="H68" i="1" s="1"/>
  <c r="H88" i="1" s="1"/>
  <c r="C28" i="1"/>
  <c r="L66" i="1"/>
  <c r="L86" i="1" s="1"/>
  <c r="F43" i="1"/>
  <c r="F69" i="1" s="1"/>
  <c r="F90" i="1" s="1"/>
  <c r="F66" i="1"/>
  <c r="F86" i="1" s="1"/>
  <c r="D42" i="1"/>
  <c r="D70" i="1" s="1"/>
  <c r="D66" i="1"/>
  <c r="D86" i="1" s="1"/>
  <c r="F42" i="1"/>
  <c r="F70" i="1" s="1"/>
  <c r="D43" i="1"/>
  <c r="D69" i="1" s="1"/>
  <c r="D90" i="1" s="1"/>
  <c r="G42" i="1"/>
  <c r="G70" i="1" s="1"/>
  <c r="L25" i="1"/>
  <c r="L56" i="1" s="1"/>
  <c r="G66" i="1"/>
  <c r="G86" i="1" s="1"/>
  <c r="G92" i="1" s="1"/>
  <c r="L42" i="1"/>
  <c r="L70" i="1" s="1"/>
  <c r="L67" i="1"/>
  <c r="L87" i="1" s="1"/>
  <c r="G43" i="1"/>
  <c r="I66" i="1"/>
  <c r="I86" i="1" s="1"/>
  <c r="I43" i="1"/>
  <c r="I42" i="1"/>
  <c r="I70" i="1" s="1"/>
  <c r="K43" i="1"/>
  <c r="K66" i="1"/>
  <c r="K86" i="1" s="1"/>
  <c r="K42" i="1"/>
  <c r="K70" i="1" s="1"/>
  <c r="G24" i="1"/>
  <c r="G55" i="1" s="1"/>
  <c r="D22" i="1"/>
  <c r="K25" i="1"/>
  <c r="K56" i="1" s="1"/>
  <c r="I24" i="1"/>
  <c r="I55" i="1" s="1"/>
  <c r="F24" i="1"/>
  <c r="F55" i="1" s="1"/>
  <c r="D24" i="1"/>
  <c r="D55" i="1" s="1"/>
  <c r="E25" i="1"/>
  <c r="E56" i="1" s="1"/>
  <c r="D25" i="1"/>
  <c r="D56" i="1" s="1"/>
  <c r="J22" i="1"/>
  <c r="J25" i="1"/>
  <c r="J56" i="1" s="1"/>
  <c r="I22" i="1"/>
  <c r="I25" i="1"/>
  <c r="I56" i="1" s="1"/>
  <c r="G22" i="1"/>
  <c r="G25" i="1"/>
  <c r="G56" i="1" s="1"/>
  <c r="F22" i="1"/>
  <c r="F25" i="1"/>
  <c r="F56" i="1" s="1"/>
  <c r="H22" i="1"/>
  <c r="H25" i="1"/>
  <c r="H56" i="1" s="1"/>
  <c r="C25" i="1"/>
  <c r="C56" i="1" s="1"/>
  <c r="B22" i="1"/>
  <c r="D92" i="1" l="1"/>
  <c r="D93" i="1" s="1"/>
  <c r="I92" i="1"/>
  <c r="F92" i="1"/>
  <c r="F94" i="1" s="1"/>
  <c r="K92" i="1"/>
  <c r="G94" i="1"/>
  <c r="D16" i="3"/>
  <c r="D19" i="3" s="1"/>
  <c r="D14" i="3"/>
  <c r="D11" i="3"/>
  <c r="D13" i="3" s="1"/>
  <c r="D18" i="3" s="1"/>
  <c r="G20" i="3"/>
  <c r="G22" i="3" s="1"/>
  <c r="G19" i="3"/>
  <c r="G21" i="3" s="1"/>
  <c r="H83" i="1"/>
  <c r="D14" i="2"/>
  <c r="D15" i="2"/>
  <c r="D16" i="2"/>
  <c r="D11" i="2"/>
  <c r="D13" i="2" s="1"/>
  <c r="B9" i="3"/>
  <c r="B9" i="2"/>
  <c r="O83" i="1"/>
  <c r="B83" i="1"/>
  <c r="L92" i="1"/>
  <c r="E9" i="3"/>
  <c r="E83" i="1"/>
  <c r="E9" i="2"/>
  <c r="I94" i="1"/>
  <c r="F21" i="2"/>
  <c r="G15" i="2"/>
  <c r="G11" i="2"/>
  <c r="G13" i="2" s="1"/>
  <c r="G14" i="2"/>
  <c r="F22" i="2"/>
  <c r="F21" i="3"/>
  <c r="F22" i="3"/>
  <c r="B89" i="1"/>
  <c r="H89" i="1"/>
  <c r="E89" i="1"/>
  <c r="J89" i="1"/>
  <c r="E45" i="1"/>
  <c r="E72" i="1" s="1"/>
  <c r="E44" i="1"/>
  <c r="E71" i="1" s="1"/>
  <c r="E91" i="1" s="1"/>
  <c r="H44" i="1"/>
  <c r="H71" i="1" s="1"/>
  <c r="H91" i="1" s="1"/>
  <c r="H45" i="1"/>
  <c r="H72" i="1" s="1"/>
  <c r="B45" i="1"/>
  <c r="B72" i="1" s="1"/>
  <c r="B44" i="1"/>
  <c r="B71" i="1" s="1"/>
  <c r="B91" i="1" s="1"/>
  <c r="J45" i="1"/>
  <c r="J72" i="1" s="1"/>
  <c r="J44" i="1"/>
  <c r="J71" i="1" s="1"/>
  <c r="J91" i="1" s="1"/>
  <c r="C50" i="1"/>
  <c r="C39" i="1"/>
  <c r="C67" i="1" s="1"/>
  <c r="C87" i="1" s="1"/>
  <c r="C38" i="1"/>
  <c r="C40" i="1"/>
  <c r="C68" i="1" s="1"/>
  <c r="C88" i="1" s="1"/>
  <c r="E43" i="1"/>
  <c r="E69" i="1" s="1"/>
  <c r="E90" i="1" s="1"/>
  <c r="E66" i="1"/>
  <c r="E86" i="1" s="1"/>
  <c r="E42" i="1"/>
  <c r="E70" i="1" s="1"/>
  <c r="G69" i="1"/>
  <c r="G90" i="1" s="1"/>
  <c r="G93" i="1" s="1"/>
  <c r="J43" i="1"/>
  <c r="J42" i="1"/>
  <c r="J70" i="1" s="1"/>
  <c r="J66" i="1"/>
  <c r="J86" i="1" s="1"/>
  <c r="J92" i="1" s="1"/>
  <c r="H43" i="1"/>
  <c r="H42" i="1"/>
  <c r="H70" i="1" s="1"/>
  <c r="H66" i="1"/>
  <c r="H86" i="1" s="1"/>
  <c r="H92" i="1" s="1"/>
  <c r="K69" i="1"/>
  <c r="K90" i="1" s="1"/>
  <c r="I69" i="1"/>
  <c r="I90" i="1" s="1"/>
  <c r="B42" i="1"/>
  <c r="B70" i="1" s="1"/>
  <c r="B66" i="1"/>
  <c r="B86" i="1" s="1"/>
  <c r="B43" i="1"/>
  <c r="D21" i="3" l="1"/>
  <c r="F93" i="1"/>
  <c r="D19" i="2"/>
  <c r="D20" i="2"/>
  <c r="E92" i="1"/>
  <c r="E94" i="1" s="1"/>
  <c r="B92" i="1"/>
  <c r="B94" i="1" s="1"/>
  <c r="D94" i="1"/>
  <c r="E15" i="2"/>
  <c r="E14" i="2"/>
  <c r="E11" i="2"/>
  <c r="E13" i="2" s="1"/>
  <c r="E17" i="2"/>
  <c r="E16" i="2"/>
  <c r="B11" i="2"/>
  <c r="B13" i="2" s="1"/>
  <c r="B14" i="2"/>
  <c r="B15" i="2"/>
  <c r="B16" i="2"/>
  <c r="B17" i="2"/>
  <c r="G18" i="2"/>
  <c r="B17" i="3"/>
  <c r="B11" i="3"/>
  <c r="B13" i="3" s="1"/>
  <c r="B14" i="3"/>
  <c r="B16" i="3"/>
  <c r="B15" i="3"/>
  <c r="E11" i="3"/>
  <c r="E13" i="3" s="1"/>
  <c r="E16" i="3"/>
  <c r="E17" i="3"/>
  <c r="E14" i="3"/>
  <c r="E15" i="3"/>
  <c r="E20" i="3" s="1"/>
  <c r="H94" i="1"/>
  <c r="C83" i="1"/>
  <c r="C9" i="2"/>
  <c r="C9" i="3"/>
  <c r="D18" i="2"/>
  <c r="D21" i="2" s="1"/>
  <c r="O89" i="1"/>
  <c r="O87" i="1"/>
  <c r="O86" i="1"/>
  <c r="O88" i="1"/>
  <c r="G19" i="2"/>
  <c r="G21" i="2" s="1"/>
  <c r="G20" i="2"/>
  <c r="G22" i="2" s="1"/>
  <c r="D22" i="3"/>
  <c r="I93" i="1"/>
  <c r="C89" i="1"/>
  <c r="C66" i="1"/>
  <c r="C86" i="1" s="1"/>
  <c r="C92" i="1" s="1"/>
  <c r="C94" i="1" s="1"/>
  <c r="C45" i="1"/>
  <c r="C72" i="1" s="1"/>
  <c r="C44" i="1"/>
  <c r="C71" i="1" s="1"/>
  <c r="C91" i="1" s="1"/>
  <c r="C43" i="1"/>
  <c r="C69" i="1" s="1"/>
  <c r="C90" i="1" s="1"/>
  <c r="C93" i="1" s="1"/>
  <c r="C42" i="1"/>
  <c r="C70" i="1" s="1"/>
  <c r="B69" i="1"/>
  <c r="B90" i="1" s="1"/>
  <c r="B93" i="1" s="1"/>
  <c r="J69" i="1"/>
  <c r="J90" i="1" s="1"/>
  <c r="H69" i="1"/>
  <c r="H90" i="1" s="1"/>
  <c r="H93" i="1" s="1"/>
  <c r="E93" i="1" l="1"/>
  <c r="B20" i="3"/>
  <c r="B19" i="3"/>
  <c r="O90" i="1"/>
  <c r="O91" i="1"/>
  <c r="O92" i="1"/>
  <c r="C15" i="2"/>
  <c r="C11" i="2"/>
  <c r="C13" i="2" s="1"/>
  <c r="C16" i="2"/>
  <c r="C14" i="2"/>
  <c r="C17" i="2"/>
  <c r="B18" i="3"/>
  <c r="E19" i="2"/>
  <c r="E20" i="2"/>
  <c r="B20" i="2"/>
  <c r="B19" i="2"/>
  <c r="C11" i="3"/>
  <c r="C13" i="3" s="1"/>
  <c r="C14" i="3"/>
  <c r="C15" i="3"/>
  <c r="C16" i="3"/>
  <c r="C17" i="3"/>
  <c r="E18" i="2"/>
  <c r="D22" i="2"/>
  <c r="B18" i="2"/>
  <c r="E19" i="3"/>
  <c r="E18" i="3"/>
  <c r="E22" i="3" s="1"/>
  <c r="B22" i="2" l="1"/>
  <c r="C18" i="2"/>
  <c r="O93" i="1"/>
  <c r="E21" i="3"/>
  <c r="E22" i="2"/>
  <c r="B21" i="3"/>
  <c r="C19" i="3"/>
  <c r="C21" i="3" s="1"/>
  <c r="C20" i="3"/>
  <c r="C20" i="2"/>
  <c r="C22" i="2" s="1"/>
  <c r="C19" i="2"/>
  <c r="C21" i="2" s="1"/>
  <c r="C18" i="3"/>
  <c r="O94" i="1"/>
  <c r="B21" i="2"/>
  <c r="E21" i="2"/>
  <c r="B22" i="3"/>
  <c r="C22" i="3" l="1"/>
</calcChain>
</file>

<file path=xl/sharedStrings.xml><?xml version="1.0" encoding="utf-8"?>
<sst xmlns="http://schemas.openxmlformats.org/spreadsheetml/2006/main" count="80" uniqueCount="65">
  <si>
    <t>D</t>
  </si>
  <si>
    <t>wvl</t>
  </si>
  <si>
    <t>z</t>
  </si>
  <si>
    <t>zeta</t>
  </si>
  <si>
    <t>r0</t>
  </si>
  <si>
    <t>Dz</t>
  </si>
  <si>
    <t>FoV</t>
  </si>
  <si>
    <t>h</t>
  </si>
  <si>
    <t>cexpand</t>
  </si>
  <si>
    <t>nxsub</t>
  </si>
  <si>
    <t>subpxl</t>
  </si>
  <si>
    <t>delta</t>
  </si>
  <si>
    <t>D_ps</t>
  </si>
  <si>
    <t>N_ps</t>
  </si>
  <si>
    <t>N_z</t>
  </si>
  <si>
    <t>N_0</t>
  </si>
  <si>
    <t>N_prop</t>
  </si>
  <si>
    <t>N_wfssubap</t>
  </si>
  <si>
    <t>wfs_pitch</t>
  </si>
  <si>
    <t>DKIST-16</t>
  </si>
  <si>
    <t>DKIST-64</t>
  </si>
  <si>
    <t>MAVIS</t>
  </si>
  <si>
    <t>NFIRAOS</t>
  </si>
  <si>
    <t>EST-16</t>
  </si>
  <si>
    <t>EST-64</t>
  </si>
  <si>
    <t>GeMS</t>
  </si>
  <si>
    <t>MAD</t>
  </si>
  <si>
    <t>MORFEO</t>
  </si>
  <si>
    <t>ALASCA</t>
  </si>
  <si>
    <t>r0@wvl</t>
  </si>
  <si>
    <t>t_ps</t>
  </si>
  <si>
    <t>t_prop</t>
  </si>
  <si>
    <t>nwfs</t>
  </si>
  <si>
    <t>T_ps</t>
  </si>
  <si>
    <t>T_prop</t>
  </si>
  <si>
    <t>t_FT</t>
  </si>
  <si>
    <t>t_IG</t>
  </si>
  <si>
    <t>T_FT</t>
  </si>
  <si>
    <t>T_IG</t>
  </si>
  <si>
    <t>n-isoplan</t>
  </si>
  <si>
    <t>ndm</t>
  </si>
  <si>
    <t>t_G</t>
  </si>
  <si>
    <t>T_G</t>
  </si>
  <si>
    <t>benefit-IG (%)</t>
  </si>
  <si>
    <t>benefit-IG (s)</t>
  </si>
  <si>
    <t>total sub</t>
  </si>
  <si>
    <t>total subap</t>
  </si>
  <si>
    <t>benefit-G (s)</t>
  </si>
  <si>
    <t>benefit-G (%)</t>
  </si>
  <si>
    <t>prop_step</t>
  </si>
  <si>
    <t>number ps</t>
  </si>
  <si>
    <t>number prop</t>
  </si>
  <si>
    <t>number slope</t>
  </si>
  <si>
    <t>t_correlate</t>
  </si>
  <si>
    <t>T_correlate</t>
  </si>
  <si>
    <t>Total_FT</t>
  </si>
  <si>
    <t>num_wfs_image</t>
  </si>
  <si>
    <t>num_iso</t>
  </si>
  <si>
    <t>num_prop</t>
  </si>
  <si>
    <t>totft</t>
  </si>
  <si>
    <t>gainig%</t>
  </si>
  <si>
    <t>gaing%</t>
  </si>
  <si>
    <t>numsubap</t>
  </si>
  <si>
    <t>totft (s)</t>
  </si>
  <si>
    <t>1 los per subap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</si>
</sst>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4" borderId="0" xfId="0" applyFill="1"/>
    <xf numFmtId="0" fontId="1" fillId="0" borderId="0" xfId="1"/>
    <xf numFmtId="11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11" fontId="0" fillId="0" borderId="0" xfId="0" applyNumberFormat="1" applyBorder="1"/>
    <xf numFmtId="2" fontId="0" fillId="0" borderId="0" xfId="0" applyNumberFormat="1" applyBorder="1"/>
    <xf numFmtId="2" fontId="0" fillId="0" borderId="7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0@w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D39E-0DB0-4E5C-A18E-FE175EBFADF7}">
  <dimension ref="A1:Y118"/>
  <sheetViews>
    <sheetView tabSelected="1" topLeftCell="A83" workbookViewId="0">
      <selection activeCell="O99" sqref="O99"/>
    </sheetView>
  </sheetViews>
  <sheetFormatPr defaultRowHeight="15" x14ac:dyDescent="0.25"/>
  <cols>
    <col min="1" max="1" width="13.42578125" bestFit="1" customWidth="1"/>
    <col min="2" max="2" width="10.140625" bestFit="1" customWidth="1"/>
    <col min="3" max="3" width="11" bestFit="1" customWidth="1"/>
    <col min="4" max="4" width="11.140625" bestFit="1" customWidth="1"/>
    <col min="5" max="5" width="11.85546875" bestFit="1" customWidth="1"/>
    <col min="6" max="6" width="9.7109375" customWidth="1"/>
    <col min="7" max="7" width="9.7109375" bestFit="1" customWidth="1"/>
    <col min="8" max="8" width="9.7109375" customWidth="1"/>
    <col min="9" max="9" width="9.7109375" bestFit="1" customWidth="1"/>
    <col min="10" max="12" width="9.7109375" customWidth="1"/>
    <col min="14" max="14" width="13.28515625" bestFit="1" customWidth="1"/>
    <col min="19" max="19" width="9.140625" customWidth="1"/>
    <col min="21" max="21" width="9.140625" customWidth="1"/>
    <col min="23" max="25" width="9.140625" customWidth="1"/>
  </cols>
  <sheetData>
    <row r="1" spans="1:21" x14ac:dyDescent="0.25">
      <c r="B1" t="s">
        <v>19</v>
      </c>
      <c r="C1" t="s">
        <v>20</v>
      </c>
      <c r="D1" t="s">
        <v>23</v>
      </c>
      <c r="E1" t="s">
        <v>24</v>
      </c>
      <c r="F1" t="s">
        <v>25</v>
      </c>
      <c r="G1" t="s">
        <v>26</v>
      </c>
      <c r="H1" t="s">
        <v>21</v>
      </c>
      <c r="I1" t="s">
        <v>27</v>
      </c>
      <c r="J1" t="s">
        <v>22</v>
      </c>
      <c r="K1" t="s">
        <v>28</v>
      </c>
      <c r="L1" t="s">
        <v>28</v>
      </c>
    </row>
    <row r="2" spans="1:21" x14ac:dyDescent="0.25">
      <c r="A2" t="s">
        <v>0</v>
      </c>
      <c r="B2">
        <v>4</v>
      </c>
      <c r="C2">
        <v>4</v>
      </c>
      <c r="D2">
        <v>4.2</v>
      </c>
      <c r="E2">
        <v>4.2</v>
      </c>
      <c r="F2">
        <v>8</v>
      </c>
      <c r="G2">
        <v>8</v>
      </c>
      <c r="H2">
        <v>8.1999999999999993</v>
      </c>
      <c r="I2">
        <v>38.5</v>
      </c>
      <c r="J2">
        <v>30</v>
      </c>
      <c r="K2">
        <v>1</v>
      </c>
      <c r="L2">
        <v>1</v>
      </c>
    </row>
    <row r="3" spans="1:21" x14ac:dyDescent="0.25">
      <c r="A3" t="s">
        <v>1</v>
      </c>
      <c r="B3" s="1">
        <v>5.5000000000000003E-7</v>
      </c>
      <c r="C3" s="1">
        <v>5.5000000000000003E-7</v>
      </c>
      <c r="D3" s="1">
        <v>4.9999999999999998E-7</v>
      </c>
      <c r="E3" s="1">
        <v>4.9999999999999998E-7</v>
      </c>
      <c r="F3" s="1">
        <v>5.8899999999999999E-7</v>
      </c>
      <c r="G3" s="1">
        <v>5.5000000000000003E-7</v>
      </c>
      <c r="H3" s="1">
        <v>5.8899999999999999E-7</v>
      </c>
      <c r="I3" s="1">
        <v>5.8899999999999999E-7</v>
      </c>
      <c r="J3" s="1">
        <v>5.8899999999999999E-7</v>
      </c>
      <c r="K3" s="1">
        <v>5.8899999999999999E-7</v>
      </c>
      <c r="L3" s="1">
        <v>5.8899999999999999E-7</v>
      </c>
    </row>
    <row r="4" spans="1:21" x14ac:dyDescent="0.25">
      <c r="A4" t="s">
        <v>7</v>
      </c>
      <c r="B4" s="1">
        <v>11200</v>
      </c>
      <c r="C4" s="1">
        <v>11200</v>
      </c>
      <c r="D4" s="1">
        <v>20000</v>
      </c>
      <c r="E4" s="1">
        <v>20000</v>
      </c>
      <c r="F4" s="1">
        <v>9000</v>
      </c>
      <c r="G4" s="1">
        <v>8500</v>
      </c>
      <c r="H4" s="1">
        <v>13500</v>
      </c>
      <c r="I4" s="1">
        <v>17500</v>
      </c>
      <c r="J4" s="1">
        <v>11800</v>
      </c>
      <c r="K4" s="1">
        <v>10000</v>
      </c>
      <c r="L4" s="1">
        <v>10000</v>
      </c>
      <c r="M4" s="1">
        <v>11200</v>
      </c>
      <c r="N4" s="1">
        <v>11200</v>
      </c>
      <c r="O4" s="1">
        <v>20000</v>
      </c>
      <c r="P4" s="1">
        <v>20000</v>
      </c>
      <c r="Q4" s="1">
        <v>9000</v>
      </c>
      <c r="R4" s="1">
        <v>8500</v>
      </c>
      <c r="S4" s="1">
        <v>13500</v>
      </c>
      <c r="T4" s="1">
        <v>17500</v>
      </c>
      <c r="U4" s="1">
        <v>11800</v>
      </c>
    </row>
    <row r="5" spans="1:21" x14ac:dyDescent="0.25">
      <c r="A5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21" x14ac:dyDescent="0.25">
      <c r="A6" t="s">
        <v>4</v>
      </c>
      <c r="B6" s="1">
        <v>0.09</v>
      </c>
      <c r="C6" s="1">
        <v>0.09</v>
      </c>
      <c r="D6" s="1">
        <v>7.0000000000000007E-2</v>
      </c>
      <c r="E6" s="1">
        <v>7.0000000000000007E-2</v>
      </c>
      <c r="F6" s="1">
        <v>0.14000000000000001</v>
      </c>
      <c r="G6" s="1">
        <v>0.14000000000000001</v>
      </c>
      <c r="H6" s="1">
        <v>0.14000000000000001</v>
      </c>
      <c r="I6" s="1">
        <v>0.14000000000000001</v>
      </c>
      <c r="J6" s="1">
        <v>0.19</v>
      </c>
      <c r="K6" s="1">
        <v>7.0000000000000007E-2</v>
      </c>
      <c r="L6" s="1">
        <v>7.0000000000000007E-2</v>
      </c>
    </row>
    <row r="7" spans="1:21" x14ac:dyDescent="0.25">
      <c r="A7" s="7" t="s">
        <v>29</v>
      </c>
      <c r="B7" s="1">
        <f>B6*(B3/0.0000005)^(6/5)</f>
        <v>0.10090524277265421</v>
      </c>
      <c r="C7" s="1">
        <f t="shared" ref="C7:L7" si="0">C6*(C3/0.0000005)^(6/5)</f>
        <v>0.10090524277265421</v>
      </c>
      <c r="D7" s="1">
        <f t="shared" si="0"/>
        <v>7.0000000000000007E-2</v>
      </c>
      <c r="E7" s="1">
        <f t="shared" si="0"/>
        <v>7.0000000000000007E-2</v>
      </c>
      <c r="F7" s="1">
        <f t="shared" si="0"/>
        <v>0.17041286747319595</v>
      </c>
      <c r="G7" s="1">
        <f t="shared" si="0"/>
        <v>0.15696371097968434</v>
      </c>
      <c r="H7" s="1">
        <f t="shared" si="0"/>
        <v>0.17041286747319595</v>
      </c>
      <c r="I7" s="1">
        <f t="shared" si="0"/>
        <v>0.17041286747319595</v>
      </c>
      <c r="J7" s="1">
        <f t="shared" si="0"/>
        <v>0.23127460585648019</v>
      </c>
      <c r="K7" s="1">
        <f t="shared" si="0"/>
        <v>8.5206433736597975E-2</v>
      </c>
      <c r="L7" s="1">
        <f t="shared" si="0"/>
        <v>8.5206433736597975E-2</v>
      </c>
    </row>
    <row r="8" spans="1:21" x14ac:dyDescent="0.25">
      <c r="A8" t="s">
        <v>6</v>
      </c>
      <c r="B8" s="1">
        <v>60</v>
      </c>
      <c r="C8" s="1">
        <v>60</v>
      </c>
      <c r="D8" s="1">
        <v>60</v>
      </c>
      <c r="E8" s="1">
        <v>60</v>
      </c>
      <c r="F8" s="1">
        <v>120</v>
      </c>
      <c r="G8" s="1">
        <v>120</v>
      </c>
      <c r="H8" s="1">
        <v>120</v>
      </c>
      <c r="I8" s="1">
        <v>160</v>
      </c>
      <c r="J8" s="1">
        <v>120</v>
      </c>
      <c r="K8" s="1">
        <v>5</v>
      </c>
      <c r="L8" s="1">
        <v>5</v>
      </c>
    </row>
    <row r="9" spans="1:21" x14ac:dyDescent="0.25">
      <c r="A9" t="s">
        <v>8</v>
      </c>
      <c r="B9" s="1">
        <v>4</v>
      </c>
      <c r="C9" s="1">
        <v>4</v>
      </c>
      <c r="D9" s="1">
        <v>4</v>
      </c>
      <c r="E9" s="1">
        <v>4</v>
      </c>
      <c r="F9" s="1">
        <v>4</v>
      </c>
      <c r="G9" s="1">
        <v>4</v>
      </c>
      <c r="H9" s="1">
        <v>4</v>
      </c>
      <c r="I9" s="1">
        <v>4</v>
      </c>
      <c r="J9" s="1">
        <v>4</v>
      </c>
      <c r="K9" s="1">
        <v>4</v>
      </c>
      <c r="L9" s="1">
        <v>4</v>
      </c>
    </row>
    <row r="10" spans="1:21" x14ac:dyDescent="0.25">
      <c r="A10" t="s">
        <v>18</v>
      </c>
      <c r="B10" s="1">
        <v>9.2999999999999999E-2</v>
      </c>
      <c r="C10" s="1">
        <v>9.2999999999999999E-2</v>
      </c>
      <c r="D10" s="1">
        <v>0.08</v>
      </c>
      <c r="E10" s="1">
        <v>0.08</v>
      </c>
      <c r="F10" s="1">
        <v>0.5</v>
      </c>
      <c r="G10" s="1">
        <v>1</v>
      </c>
      <c r="H10" s="1">
        <v>0.216</v>
      </c>
      <c r="I10" s="1">
        <v>0.55000000000000004</v>
      </c>
      <c r="J10" s="1">
        <v>0.5</v>
      </c>
      <c r="K10" s="1">
        <f>K2/K11</f>
        <v>0.1</v>
      </c>
      <c r="L10" s="1">
        <f>L2/L11</f>
        <v>0.1</v>
      </c>
    </row>
    <row r="11" spans="1:21" x14ac:dyDescent="0.25">
      <c r="A11" s="5" t="s">
        <v>9</v>
      </c>
      <c r="B11" s="4">
        <f t="shared" ref="B11:J11" si="1">B2/B10</f>
        <v>43.01075268817204</v>
      </c>
      <c r="C11" s="4">
        <f t="shared" si="1"/>
        <v>43.01075268817204</v>
      </c>
      <c r="D11" s="4">
        <f t="shared" si="1"/>
        <v>52.5</v>
      </c>
      <c r="E11" s="4">
        <f t="shared" si="1"/>
        <v>52.5</v>
      </c>
      <c r="F11" s="4">
        <f t="shared" si="1"/>
        <v>16</v>
      </c>
      <c r="G11" s="4">
        <f t="shared" si="1"/>
        <v>8</v>
      </c>
      <c r="H11" s="4">
        <f t="shared" si="1"/>
        <v>37.962962962962962</v>
      </c>
      <c r="I11" s="4">
        <f t="shared" si="1"/>
        <v>70</v>
      </c>
      <c r="J11" s="4">
        <f t="shared" si="1"/>
        <v>60</v>
      </c>
      <c r="K11" s="4">
        <v>10</v>
      </c>
      <c r="L11" s="4">
        <v>10</v>
      </c>
      <c r="O11">
        <f>9*1452</f>
        <v>13068</v>
      </c>
      <c r="P11">
        <f>9*3847</f>
        <v>34623</v>
      </c>
    </row>
    <row r="12" spans="1:21" x14ac:dyDescent="0.25">
      <c r="A12" t="s">
        <v>10</v>
      </c>
      <c r="B12" s="4">
        <v>16</v>
      </c>
      <c r="C12" s="4">
        <v>64</v>
      </c>
      <c r="D12" s="4">
        <v>16</v>
      </c>
      <c r="E12" s="4">
        <v>64</v>
      </c>
      <c r="F12" s="4">
        <v>16</v>
      </c>
      <c r="G12" s="4">
        <v>16</v>
      </c>
      <c r="H12" s="4">
        <v>16</v>
      </c>
      <c r="I12" s="4">
        <v>16</v>
      </c>
      <c r="J12" s="4">
        <v>16</v>
      </c>
      <c r="K12" s="4">
        <v>16</v>
      </c>
      <c r="L12" s="4">
        <v>64</v>
      </c>
    </row>
    <row r="13" spans="1:21" x14ac:dyDescent="0.25">
      <c r="A13" s="5" t="s">
        <v>11</v>
      </c>
      <c r="B13" s="1">
        <f t="shared" ref="B13:L13" si="2">B2/B12/B11</f>
        <v>5.8125E-3</v>
      </c>
      <c r="C13" s="1">
        <f t="shared" si="2"/>
        <v>1.453125E-3</v>
      </c>
      <c r="D13" s="1">
        <f t="shared" si="2"/>
        <v>5.0000000000000001E-3</v>
      </c>
      <c r="E13" s="1">
        <f t="shared" si="2"/>
        <v>1.25E-3</v>
      </c>
      <c r="F13" s="1">
        <f t="shared" si="2"/>
        <v>3.125E-2</v>
      </c>
      <c r="G13" s="1">
        <f t="shared" si="2"/>
        <v>6.25E-2</v>
      </c>
      <c r="H13" s="1">
        <f t="shared" si="2"/>
        <v>1.35E-2</v>
      </c>
      <c r="I13" s="1">
        <f t="shared" si="2"/>
        <v>3.4375000000000003E-2</v>
      </c>
      <c r="J13" s="1">
        <f t="shared" si="2"/>
        <v>3.125E-2</v>
      </c>
      <c r="K13" s="1">
        <f t="shared" si="2"/>
        <v>6.2500000000000003E-3</v>
      </c>
      <c r="L13" s="1">
        <f t="shared" si="2"/>
        <v>1.5625000000000001E-3</v>
      </c>
    </row>
    <row r="14" spans="1:21" x14ac:dyDescent="0.25">
      <c r="A14" t="s">
        <v>32</v>
      </c>
      <c r="B14" s="4">
        <v>9</v>
      </c>
      <c r="C14" s="4">
        <v>9</v>
      </c>
      <c r="D14" s="4">
        <v>19</v>
      </c>
      <c r="E14" s="4">
        <v>19</v>
      </c>
      <c r="F14" s="4">
        <v>8</v>
      </c>
      <c r="G14" s="4">
        <v>11</v>
      </c>
      <c r="H14" s="4">
        <v>11</v>
      </c>
      <c r="I14" s="4">
        <v>9</v>
      </c>
      <c r="J14" s="4">
        <v>9</v>
      </c>
      <c r="K14" s="4">
        <v>1</v>
      </c>
      <c r="L14" s="4">
        <v>1</v>
      </c>
    </row>
    <row r="15" spans="1:21" x14ac:dyDescent="0.25">
      <c r="A15" s="5" t="s">
        <v>39</v>
      </c>
      <c r="B15" s="4">
        <f>(B8)^2</f>
        <v>3600</v>
      </c>
      <c r="C15" s="4">
        <f t="shared" ref="C15:E15" si="3">(C8)^2</f>
        <v>3600</v>
      </c>
      <c r="D15" s="4">
        <f t="shared" si="3"/>
        <v>3600</v>
      </c>
      <c r="E15" s="4">
        <f t="shared" si="3"/>
        <v>3600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21" x14ac:dyDescent="0.25">
      <c r="A16" s="5" t="s">
        <v>40</v>
      </c>
      <c r="B16" s="4">
        <v>3</v>
      </c>
      <c r="C16" s="4">
        <v>3</v>
      </c>
      <c r="D16" s="4">
        <v>5</v>
      </c>
      <c r="E16" s="4">
        <v>5</v>
      </c>
      <c r="F16" s="4">
        <v>3</v>
      </c>
      <c r="G16" s="4">
        <v>2</v>
      </c>
      <c r="H16" s="4">
        <v>3</v>
      </c>
      <c r="I16" s="4">
        <v>3</v>
      </c>
      <c r="J16" s="4">
        <v>2</v>
      </c>
      <c r="K16" s="4">
        <v>2</v>
      </c>
      <c r="L16" s="4">
        <v>2</v>
      </c>
    </row>
    <row r="18" spans="1:12" x14ac:dyDescent="0.25">
      <c r="A18" t="s">
        <v>2</v>
      </c>
      <c r="B18" s="1">
        <f t="shared" ref="B18:L18" si="4">B4/COS(RADIANS(B5))</f>
        <v>11200</v>
      </c>
      <c r="C18" s="1">
        <f t="shared" si="4"/>
        <v>11200</v>
      </c>
      <c r="D18" s="1">
        <f t="shared" si="4"/>
        <v>20000</v>
      </c>
      <c r="E18" s="1">
        <f t="shared" si="4"/>
        <v>20000</v>
      </c>
      <c r="F18" s="1">
        <f t="shared" si="4"/>
        <v>9000</v>
      </c>
      <c r="G18" s="1">
        <f t="shared" si="4"/>
        <v>8500</v>
      </c>
      <c r="H18" s="1">
        <f t="shared" si="4"/>
        <v>13500</v>
      </c>
      <c r="I18" s="1">
        <f t="shared" si="4"/>
        <v>17500</v>
      </c>
      <c r="J18" s="1">
        <f t="shared" si="4"/>
        <v>11800</v>
      </c>
      <c r="K18" s="1">
        <f t="shared" si="4"/>
        <v>10000</v>
      </c>
      <c r="L18" s="1">
        <f t="shared" si="4"/>
        <v>10000</v>
      </c>
    </row>
    <row r="19" spans="1:12" x14ac:dyDescent="0.25">
      <c r="A19" t="s">
        <v>12</v>
      </c>
      <c r="B19" s="1">
        <f>B2+B8*B18/206265+B9*B3/B7*B18</f>
        <v>7.5021343690058853</v>
      </c>
      <c r="C19" s="1">
        <f t="shared" ref="C19:L19" si="5">C2+C8*C18/206265+C9*C3/C7*C18</f>
        <v>7.5021343690058853</v>
      </c>
      <c r="D19" s="1">
        <f t="shared" si="5"/>
        <v>10.589187279886138</v>
      </c>
      <c r="E19" s="1">
        <f t="shared" si="5"/>
        <v>10.589187279886138</v>
      </c>
      <c r="F19" s="1">
        <f t="shared" si="5"/>
        <v>13.360410061414822</v>
      </c>
      <c r="G19" s="1">
        <f t="shared" si="5"/>
        <v>13.064230719527121</v>
      </c>
      <c r="H19" s="1">
        <f t="shared" si="5"/>
        <v>16.24061509212223</v>
      </c>
      <c r="I19" s="1">
        <f t="shared" si="5"/>
        <v>52.316712143795726</v>
      </c>
      <c r="J19" s="1">
        <f t="shared" si="5"/>
        <v>36.985162161197806</v>
      </c>
      <c r="K19" s="1">
        <f t="shared" si="5"/>
        <v>1.5189115546368646</v>
      </c>
      <c r="L19" s="1">
        <f t="shared" si="5"/>
        <v>1.5189115546368646</v>
      </c>
    </row>
    <row r="20" spans="1:12" x14ac:dyDescent="0.25">
      <c r="A20" t="s">
        <v>5</v>
      </c>
      <c r="B20" s="1">
        <f>B2+B9*B3/B7*B18</f>
        <v>4.2441894922696477</v>
      </c>
      <c r="C20" s="1">
        <f t="shared" ref="C20:K20" si="6">C2+C9*C3/C7*C18</f>
        <v>4.2441894922696477</v>
      </c>
      <c r="D20" s="1">
        <f t="shared" si="6"/>
        <v>4.7714285714285714</v>
      </c>
      <c r="E20" s="1">
        <f t="shared" si="6"/>
        <v>4.7714285714285714</v>
      </c>
      <c r="F20" s="1">
        <f t="shared" si="6"/>
        <v>8.1244272238030106</v>
      </c>
      <c r="G20" s="1">
        <f t="shared" si="6"/>
        <v>8.11913581733819</v>
      </c>
      <c r="H20" s="1">
        <f t="shared" si="6"/>
        <v>8.3866408357045135</v>
      </c>
      <c r="I20" s="1">
        <f t="shared" si="6"/>
        <v>38.741941824061406</v>
      </c>
      <c r="J20" s="1">
        <f t="shared" si="6"/>
        <v>30.120206885217879</v>
      </c>
      <c r="K20" s="1">
        <f t="shared" si="6"/>
        <v>1.2765049417844661</v>
      </c>
      <c r="L20" s="1">
        <f t="shared" ref="L20" si="7">L2+L9*L3/L7*L18</f>
        <v>1.2765049417844661</v>
      </c>
    </row>
    <row r="21" spans="1:12" x14ac:dyDescent="0.25">
      <c r="A21" t="s">
        <v>15</v>
      </c>
      <c r="B21" s="1">
        <f t="shared" ref="B21:L21" si="8">B2/B13</f>
        <v>688.17204301075265</v>
      </c>
      <c r="C21" s="1">
        <f t="shared" si="8"/>
        <v>2752.6881720430106</v>
      </c>
      <c r="D21" s="1">
        <f t="shared" si="8"/>
        <v>840</v>
      </c>
      <c r="E21" s="1">
        <f t="shared" si="8"/>
        <v>3360</v>
      </c>
      <c r="F21" s="1">
        <f t="shared" si="8"/>
        <v>256</v>
      </c>
      <c r="G21" s="1">
        <f t="shared" si="8"/>
        <v>128</v>
      </c>
      <c r="H21" s="1">
        <f t="shared" si="8"/>
        <v>607.40740740740739</v>
      </c>
      <c r="I21" s="1">
        <f t="shared" si="8"/>
        <v>1120</v>
      </c>
      <c r="J21" s="1">
        <f t="shared" si="8"/>
        <v>960</v>
      </c>
      <c r="K21" s="1">
        <f t="shared" si="8"/>
        <v>160</v>
      </c>
      <c r="L21" s="1">
        <f t="shared" si="8"/>
        <v>640</v>
      </c>
    </row>
    <row r="22" spans="1:12" x14ac:dyDescent="0.25">
      <c r="A22" t="s">
        <v>14</v>
      </c>
      <c r="B22" s="1">
        <f>B20/B13</f>
        <v>730.18313845499313</v>
      </c>
      <c r="C22" s="1">
        <f>C20/C13</f>
        <v>2920.7325538199725</v>
      </c>
      <c r="D22" s="1">
        <f>D20/D13</f>
        <v>954.28571428571422</v>
      </c>
      <c r="E22" s="1">
        <f>E20/E13</f>
        <v>3817.1428571428569</v>
      </c>
      <c r="F22" s="1">
        <f t="shared" ref="F22:G22" si="9">F20/F13</f>
        <v>259.98167116169634</v>
      </c>
      <c r="G22" s="1">
        <f t="shared" si="9"/>
        <v>129.90617307741104</v>
      </c>
      <c r="H22" s="1">
        <f>H20/H13</f>
        <v>621.23265449663063</v>
      </c>
      <c r="I22" s="1">
        <f t="shared" ref="I22:J22" si="10">I20/I13</f>
        <v>1127.0383076090591</v>
      </c>
      <c r="J22" s="1">
        <f t="shared" si="10"/>
        <v>963.84662032697213</v>
      </c>
      <c r="K22" s="1">
        <f t="shared" ref="K22:L22" si="11">K20/K13</f>
        <v>204.24079068551455</v>
      </c>
      <c r="L22" s="1">
        <f t="shared" si="11"/>
        <v>816.96316274205822</v>
      </c>
    </row>
    <row r="23" spans="1:12" x14ac:dyDescent="0.25">
      <c r="B23" s="1"/>
      <c r="C23" s="1"/>
    </row>
    <row r="24" spans="1:12" x14ac:dyDescent="0.25">
      <c r="A24" t="s">
        <v>13</v>
      </c>
      <c r="B24" s="4">
        <f>B19/B13</f>
        <v>1290.689783914991</v>
      </c>
      <c r="C24" s="4">
        <f>C19/C13</f>
        <v>5162.7591356599642</v>
      </c>
      <c r="D24" s="4">
        <f>D19/D13</f>
        <v>2117.8374559772274</v>
      </c>
      <c r="E24" s="4">
        <f>E19/E13</f>
        <v>8471.3498239089095</v>
      </c>
      <c r="F24" s="4">
        <f t="shared" ref="F24:G24" si="12">F19/F13</f>
        <v>427.53312196527429</v>
      </c>
      <c r="G24" s="4">
        <f t="shared" si="12"/>
        <v>209.02769151243393</v>
      </c>
      <c r="H24" s="4">
        <f>H19/H13</f>
        <v>1203.0085253423874</v>
      </c>
      <c r="I24" s="4">
        <f t="shared" ref="I24:J24" si="13">I19/I13</f>
        <v>1521.9407169104211</v>
      </c>
      <c r="J24" s="4">
        <f t="shared" si="13"/>
        <v>1183.5251891583298</v>
      </c>
      <c r="K24" s="4">
        <f t="shared" ref="K24:L24" si="14">K19/K13</f>
        <v>243.02584874189833</v>
      </c>
      <c r="L24" s="4">
        <f t="shared" si="14"/>
        <v>972.10339496759332</v>
      </c>
    </row>
    <row r="25" spans="1:12" x14ac:dyDescent="0.25">
      <c r="A25" t="s">
        <v>16</v>
      </c>
      <c r="B25" s="4">
        <f t="shared" ref="B25:L25" si="15">MAX(B2/2/B13+B20/2/B13+B3*B18/2/B13^2,B3*B18/B13^2)</f>
        <v>800.34188718332962</v>
      </c>
      <c r="C25" s="4">
        <f t="shared" si="15"/>
        <v>4295.3391061387993</v>
      </c>
      <c r="D25" s="4">
        <f t="shared" si="15"/>
        <v>1097.1428571428571</v>
      </c>
      <c r="E25" s="4">
        <f t="shared" si="15"/>
        <v>6788.5714285714284</v>
      </c>
      <c r="F25" s="4">
        <f t="shared" si="15"/>
        <v>260.70494758084817</v>
      </c>
      <c r="G25" s="4">
        <f t="shared" si="15"/>
        <v>129.55148653870552</v>
      </c>
      <c r="H25" s="4">
        <f t="shared" si="15"/>
        <v>636.13484576683379</v>
      </c>
      <c r="I25" s="4">
        <f t="shared" si="15"/>
        <v>1127.8806744656868</v>
      </c>
      <c r="J25" s="4">
        <f t="shared" si="15"/>
        <v>965.48181256348607</v>
      </c>
      <c r="K25" s="4">
        <f t="shared" si="15"/>
        <v>257.51239534275726</v>
      </c>
      <c r="L25" s="4">
        <f t="shared" si="15"/>
        <v>2412.5439999999999</v>
      </c>
    </row>
    <row r="26" spans="1:12" x14ac:dyDescent="0.25">
      <c r="A26" t="s">
        <v>17</v>
      </c>
      <c r="B26" s="4">
        <f>B12</f>
        <v>16</v>
      </c>
      <c r="C26" s="4">
        <f>C12</f>
        <v>64</v>
      </c>
      <c r="D26" s="4">
        <f>D12</f>
        <v>16</v>
      </c>
      <c r="E26" s="4">
        <f>E12</f>
        <v>64</v>
      </c>
      <c r="F26" s="4">
        <f t="shared" ref="F26:G26" si="16">F12</f>
        <v>16</v>
      </c>
      <c r="G26" s="4">
        <f t="shared" si="16"/>
        <v>16</v>
      </c>
      <c r="H26" s="4">
        <f>H12</f>
        <v>16</v>
      </c>
      <c r="I26" s="4">
        <f t="shared" ref="I26:J26" si="17">I12</f>
        <v>16</v>
      </c>
      <c r="J26" s="4">
        <f t="shared" si="17"/>
        <v>16</v>
      </c>
      <c r="K26" s="4">
        <f t="shared" ref="K26:L26" si="18">K12</f>
        <v>16</v>
      </c>
      <c r="L26" s="4">
        <f t="shared" si="18"/>
        <v>64</v>
      </c>
    </row>
    <row r="27" spans="1:12" x14ac:dyDescent="0.25">
      <c r="A27" t="s">
        <v>9</v>
      </c>
      <c r="B27" s="4">
        <f>B11</f>
        <v>43.01075268817204</v>
      </c>
      <c r="C27" s="4">
        <f>C11</f>
        <v>43.01075268817204</v>
      </c>
      <c r="D27" s="4">
        <f>D11</f>
        <v>52.5</v>
      </c>
      <c r="E27" s="4">
        <f>E11</f>
        <v>52.5</v>
      </c>
      <c r="F27" s="4">
        <f t="shared" ref="F27:G27" si="19">F11</f>
        <v>16</v>
      </c>
      <c r="G27" s="4">
        <f t="shared" si="19"/>
        <v>8</v>
      </c>
      <c r="H27" s="4">
        <f>H11</f>
        <v>37.962962962962962</v>
      </c>
      <c r="I27" s="4">
        <f t="shared" ref="I27:J27" si="20">I11</f>
        <v>70</v>
      </c>
      <c r="J27" s="4">
        <f t="shared" si="20"/>
        <v>60</v>
      </c>
      <c r="K27" s="4">
        <f t="shared" ref="K27:L27" si="21">K11</f>
        <v>10</v>
      </c>
      <c r="L27" s="4">
        <f t="shared" si="21"/>
        <v>10</v>
      </c>
    </row>
    <row r="28" spans="1:12" x14ac:dyDescent="0.25">
      <c r="A28" t="s">
        <v>46</v>
      </c>
      <c r="B28" s="4">
        <f>B27^2/4*3.14</f>
        <v>1452.1910047404324</v>
      </c>
      <c r="C28" s="4">
        <f t="shared" ref="C28:L28" si="22">C27^2/4*3.14</f>
        <v>1452.1910047404324</v>
      </c>
      <c r="D28" s="4">
        <f t="shared" si="22"/>
        <v>2163.65625</v>
      </c>
      <c r="E28" s="4">
        <f t="shared" si="22"/>
        <v>2163.65625</v>
      </c>
      <c r="F28" s="4">
        <f t="shared" si="22"/>
        <v>200.96</v>
      </c>
      <c r="G28" s="4">
        <f t="shared" si="22"/>
        <v>50.24</v>
      </c>
      <c r="H28" s="4">
        <f t="shared" si="22"/>
        <v>1131.3314471879285</v>
      </c>
      <c r="I28" s="4">
        <f t="shared" si="22"/>
        <v>3846.5</v>
      </c>
      <c r="J28" s="4">
        <f t="shared" si="22"/>
        <v>2826</v>
      </c>
      <c r="K28" s="4">
        <f t="shared" si="22"/>
        <v>78.5</v>
      </c>
      <c r="L28" s="4">
        <f t="shared" si="22"/>
        <v>78.5</v>
      </c>
    </row>
    <row r="30" spans="1:12" x14ac:dyDescent="0.25">
      <c r="A30" t="s">
        <v>30</v>
      </c>
      <c r="B30" s="8">
        <v>1.53</v>
      </c>
      <c r="C30" s="8">
        <v>20</v>
      </c>
      <c r="D30" s="3">
        <v>3.84</v>
      </c>
      <c r="E30" s="8">
        <v>50.2</v>
      </c>
      <c r="F30" s="8">
        <v>0.19800000000000001</v>
      </c>
      <c r="G30" s="8">
        <v>5.2499999999999998E-2</v>
      </c>
      <c r="H30" s="8">
        <v>1.34</v>
      </c>
      <c r="I30" s="8">
        <v>2.08</v>
      </c>
      <c r="J30" s="8">
        <v>1.3</v>
      </c>
      <c r="K30" s="8">
        <v>6.9400000000000003E-2</v>
      </c>
      <c r="L30" s="8">
        <v>0.90700000000000003</v>
      </c>
    </row>
    <row r="31" spans="1:12" x14ac:dyDescent="0.25">
      <c r="A31" t="s">
        <v>31</v>
      </c>
      <c r="B31" s="8">
        <v>0.57299999999999995</v>
      </c>
      <c r="C31" s="8">
        <v>25.2</v>
      </c>
      <c r="D31" s="3">
        <v>1.1599999999999999</v>
      </c>
      <c r="E31" s="8">
        <v>70.599999999999994</v>
      </c>
      <c r="F31" s="8">
        <v>4.5999999999999999E-2</v>
      </c>
      <c r="G31" s="8">
        <v>9.5899999999999996E-3</v>
      </c>
      <c r="H31" s="8">
        <v>0.34200000000000003</v>
      </c>
      <c r="I31" s="8">
        <v>1.24</v>
      </c>
      <c r="J31" s="8">
        <v>0.874</v>
      </c>
      <c r="K31" s="8">
        <v>4.4900000000000002E-2</v>
      </c>
      <c r="L31" s="8">
        <v>6.88</v>
      </c>
    </row>
    <row r="32" spans="1:12" x14ac:dyDescent="0.25">
      <c r="A32" t="s">
        <v>35</v>
      </c>
      <c r="B32" s="8">
        <v>5.6799999999999998E-5</v>
      </c>
      <c r="C32" s="8">
        <v>1.84E-4</v>
      </c>
      <c r="D32" s="8">
        <v>5.6799999999999998E-5</v>
      </c>
      <c r="E32" s="8">
        <v>1.84E-4</v>
      </c>
      <c r="F32" s="8">
        <v>5.6799999999999998E-5</v>
      </c>
      <c r="G32" s="8">
        <v>5.6799999999999998E-5</v>
      </c>
      <c r="H32" s="8">
        <v>5.6799999999999998E-5</v>
      </c>
      <c r="I32" s="8">
        <v>5.6799999999999998E-5</v>
      </c>
      <c r="J32" s="8">
        <v>5.6799999999999998E-5</v>
      </c>
      <c r="K32" s="8">
        <v>5.6799999999999998E-5</v>
      </c>
      <c r="L32" s="8">
        <v>1.84E-4</v>
      </c>
    </row>
    <row r="33" spans="1:12" x14ac:dyDescent="0.25">
      <c r="A33" t="s">
        <v>36</v>
      </c>
      <c r="B33" s="8">
        <v>3.6399999999999997E-5</v>
      </c>
      <c r="C33" s="8">
        <v>7.8700000000000002E-5</v>
      </c>
      <c r="D33" s="8">
        <v>3.6399999999999997E-5</v>
      </c>
      <c r="E33" s="8">
        <v>7.8700000000000002E-5</v>
      </c>
      <c r="F33" s="8">
        <v>3.6399999999999997E-5</v>
      </c>
      <c r="G33" s="8">
        <v>3.6399999999999997E-5</v>
      </c>
      <c r="H33" s="8">
        <v>3.6399999999999997E-5</v>
      </c>
      <c r="I33" s="8">
        <v>3.6399999999999997E-5</v>
      </c>
      <c r="J33" s="8">
        <v>3.6399999999999997E-5</v>
      </c>
      <c r="K33" s="8">
        <v>3.6399999999999997E-5</v>
      </c>
      <c r="L33" s="8">
        <v>7.8700000000000002E-5</v>
      </c>
    </row>
    <row r="34" spans="1:12" x14ac:dyDescent="0.25">
      <c r="A34" t="s">
        <v>41</v>
      </c>
      <c r="B34" s="8">
        <v>2.8500000000000002E-5</v>
      </c>
      <c r="C34" s="8">
        <v>5.8400000000000003E-5</v>
      </c>
      <c r="D34" s="8">
        <v>2.8500000000000002E-5</v>
      </c>
      <c r="E34" s="8">
        <v>5.8400000000000003E-5</v>
      </c>
      <c r="F34" s="8">
        <v>2.8500000000000002E-5</v>
      </c>
      <c r="G34" s="8">
        <v>2.8500000000000002E-5</v>
      </c>
      <c r="H34" s="8">
        <v>2.8500000000000002E-5</v>
      </c>
      <c r="I34" s="8">
        <v>2.8500000000000002E-5</v>
      </c>
      <c r="J34" s="8">
        <v>2.8500000000000002E-5</v>
      </c>
      <c r="K34" s="8">
        <v>2.8500000000000002E-5</v>
      </c>
      <c r="L34" s="8">
        <v>5.8400000000000003E-5</v>
      </c>
    </row>
    <row r="36" spans="1:12" x14ac:dyDescent="0.25">
      <c r="A36" t="s">
        <v>33</v>
      </c>
      <c r="B36" s="8">
        <f>B30*B16</f>
        <v>4.59</v>
      </c>
      <c r="C36" s="8">
        <f t="shared" ref="C36:L36" si="23">C30*C16</f>
        <v>60</v>
      </c>
      <c r="D36" s="8">
        <f t="shared" si="23"/>
        <v>19.2</v>
      </c>
      <c r="E36" s="8">
        <f t="shared" si="23"/>
        <v>251</v>
      </c>
      <c r="F36" s="8">
        <f t="shared" si="23"/>
        <v>0.59400000000000008</v>
      </c>
      <c r="G36" s="8">
        <f t="shared" si="23"/>
        <v>0.105</v>
      </c>
      <c r="H36" s="8">
        <f t="shared" si="23"/>
        <v>4.0200000000000005</v>
      </c>
      <c r="I36" s="8">
        <f t="shared" si="23"/>
        <v>6.24</v>
      </c>
      <c r="J36" s="8">
        <f t="shared" si="23"/>
        <v>2.6</v>
      </c>
      <c r="K36" s="8">
        <f t="shared" si="23"/>
        <v>0.13880000000000001</v>
      </c>
      <c r="L36" s="8">
        <f t="shared" si="23"/>
        <v>1.8140000000000001</v>
      </c>
    </row>
    <row r="37" spans="1:12" x14ac:dyDescent="0.25">
      <c r="A37" t="s">
        <v>34</v>
      </c>
      <c r="B37" s="8">
        <f>B31*B14*(B16*2-1)</f>
        <v>25.785</v>
      </c>
      <c r="C37" s="8">
        <f t="shared" ref="C37:L37" si="24">C31*C14*(C16*2-1)</f>
        <v>1134</v>
      </c>
      <c r="D37" s="8">
        <f t="shared" si="24"/>
        <v>198.35999999999999</v>
      </c>
      <c r="E37" s="8">
        <f t="shared" si="24"/>
        <v>12072.599999999999</v>
      </c>
      <c r="F37" s="8">
        <f t="shared" si="24"/>
        <v>1.8399999999999999</v>
      </c>
      <c r="G37" s="8">
        <f t="shared" si="24"/>
        <v>0.31647000000000003</v>
      </c>
      <c r="H37" s="8">
        <f t="shared" si="24"/>
        <v>18.810000000000002</v>
      </c>
      <c r="I37" s="8">
        <f t="shared" si="24"/>
        <v>55.8</v>
      </c>
      <c r="J37" s="8">
        <f t="shared" si="24"/>
        <v>23.597999999999999</v>
      </c>
      <c r="K37" s="8">
        <f t="shared" si="24"/>
        <v>0.13470000000000001</v>
      </c>
      <c r="L37" s="8">
        <f t="shared" si="24"/>
        <v>20.64</v>
      </c>
    </row>
    <row r="38" spans="1:12" x14ac:dyDescent="0.25">
      <c r="A38" t="s">
        <v>37</v>
      </c>
      <c r="B38" s="8">
        <f>B32*B28*B14*B15</f>
        <v>2672.4961498439125</v>
      </c>
      <c r="C38" s="8">
        <f t="shared" ref="C38:L38" si="25">C32*C28*C14*C15</f>
        <v>8657.3818938605618</v>
      </c>
      <c r="D38" s="8">
        <f t="shared" si="25"/>
        <v>8406.0641699999996</v>
      </c>
      <c r="E38" s="8">
        <f t="shared" si="25"/>
        <v>27230.912100000001</v>
      </c>
      <c r="F38" s="8">
        <f t="shared" si="25"/>
        <v>9.1316224000000001E-2</v>
      </c>
      <c r="G38" s="8">
        <f t="shared" si="25"/>
        <v>3.1389951999999999E-2</v>
      </c>
      <c r="H38" s="8">
        <f t="shared" si="25"/>
        <v>0.7068558882030177</v>
      </c>
      <c r="I38" s="8">
        <f t="shared" si="25"/>
        <v>1.9663307999999999</v>
      </c>
      <c r="J38" s="8">
        <f t="shared" si="25"/>
        <v>1.4446511999999998</v>
      </c>
      <c r="K38" s="8">
        <f t="shared" si="25"/>
        <v>4.4587999999999997E-3</v>
      </c>
      <c r="L38" s="8">
        <f t="shared" si="25"/>
        <v>1.4444E-2</v>
      </c>
    </row>
    <row r="39" spans="1:12" x14ac:dyDescent="0.25">
      <c r="A39" t="s">
        <v>38</v>
      </c>
      <c r="B39" s="8">
        <f>B33*B28*B14*B15</f>
        <v>1712.6559833506763</v>
      </c>
      <c r="C39" s="8">
        <f t="shared" ref="C39:L39" si="26">C33*C28*C14*C15</f>
        <v>3702.9127991675341</v>
      </c>
      <c r="D39" s="8">
        <f t="shared" si="26"/>
        <v>5386.9847849999987</v>
      </c>
      <c r="E39" s="8">
        <f t="shared" si="26"/>
        <v>11647.134686250001</v>
      </c>
      <c r="F39" s="8">
        <f t="shared" si="26"/>
        <v>5.8519551999999996E-2</v>
      </c>
      <c r="G39" s="8">
        <f t="shared" si="26"/>
        <v>2.0116096E-2</v>
      </c>
      <c r="H39" s="8">
        <f t="shared" si="26"/>
        <v>0.45298511145404646</v>
      </c>
      <c r="I39" s="8">
        <f t="shared" si="26"/>
        <v>1.2601133999999998</v>
      </c>
      <c r="J39" s="8">
        <f t="shared" si="26"/>
        <v>0.9257976</v>
      </c>
      <c r="K39" s="8">
        <f t="shared" si="26"/>
        <v>2.8574E-3</v>
      </c>
      <c r="L39" s="8">
        <f t="shared" si="26"/>
        <v>6.1779499999999998E-3</v>
      </c>
    </row>
    <row r="40" spans="1:12" x14ac:dyDescent="0.25">
      <c r="A40" t="s">
        <v>42</v>
      </c>
      <c r="B40" s="8">
        <f>B14*B15*B28*B34</f>
        <v>1340.9531737773152</v>
      </c>
      <c r="C40" s="8">
        <f t="shared" ref="C40:L40" si="27">C14*C15*C28*C34</f>
        <v>2747.7777315296566</v>
      </c>
      <c r="D40" s="8">
        <f t="shared" si="27"/>
        <v>4217.8314937499999</v>
      </c>
      <c r="E40" s="8">
        <f t="shared" si="27"/>
        <v>8642.8547099999996</v>
      </c>
      <c r="F40" s="8">
        <f t="shared" si="27"/>
        <v>4.5818880000000006E-2</v>
      </c>
      <c r="G40" s="8">
        <f t="shared" si="27"/>
        <v>1.5750240000000002E-2</v>
      </c>
      <c r="H40" s="8">
        <f t="shared" si="27"/>
        <v>0.3546724086934156</v>
      </c>
      <c r="I40" s="8">
        <f t="shared" si="27"/>
        <v>0.98662725000000007</v>
      </c>
      <c r="J40" s="8">
        <f t="shared" si="27"/>
        <v>0.72486899999999999</v>
      </c>
      <c r="K40" s="8">
        <f t="shared" si="27"/>
        <v>2.2372500000000001E-3</v>
      </c>
      <c r="L40" s="8">
        <f t="shared" si="27"/>
        <v>4.5844000000000006E-3</v>
      </c>
    </row>
    <row r="42" spans="1:12" x14ac:dyDescent="0.25">
      <c r="A42" t="s">
        <v>43</v>
      </c>
      <c r="B42" s="9">
        <f>(B38-B39)/(B36+B37+B38)*100</f>
        <v>35.511872867068263</v>
      </c>
      <c r="C42" s="9">
        <f t="shared" ref="C42:L42" si="28">(C38-C39)/(C36+C37+C38)*100</f>
        <v>50.292122953640458</v>
      </c>
      <c r="D42" s="9">
        <f t="shared" si="28"/>
        <v>35.009403534801784</v>
      </c>
      <c r="E42" s="9">
        <f t="shared" si="28"/>
        <v>39.398229396312033</v>
      </c>
      <c r="F42" s="9">
        <f t="shared" si="28"/>
        <v>1.2987154514871562</v>
      </c>
      <c r="G42" s="9">
        <f t="shared" si="28"/>
        <v>2.4894795731462689</v>
      </c>
      <c r="H42" s="9">
        <f t="shared" si="28"/>
        <v>1.0786095558167335</v>
      </c>
      <c r="I42" s="9">
        <f t="shared" si="28"/>
        <v>1.1033555449486883</v>
      </c>
      <c r="J42" s="9">
        <f t="shared" si="28"/>
        <v>1.8770037513623143</v>
      </c>
      <c r="K42" s="9">
        <f t="shared" si="28"/>
        <v>0.57612854854748252</v>
      </c>
      <c r="L42" s="9">
        <f t="shared" si="28"/>
        <v>3.6789597001020628E-2</v>
      </c>
    </row>
    <row r="43" spans="1:12" x14ac:dyDescent="0.25">
      <c r="A43" t="s">
        <v>44</v>
      </c>
      <c r="B43" s="8">
        <f>B38-B39</f>
        <v>959.84016649323621</v>
      </c>
      <c r="C43" s="8">
        <f t="shared" ref="C43:L43" si="29">C38-C39</f>
        <v>4954.4690946930277</v>
      </c>
      <c r="D43" s="8">
        <f t="shared" si="29"/>
        <v>3019.0793850000009</v>
      </c>
      <c r="E43" s="8">
        <f t="shared" si="29"/>
        <v>15583.77741375</v>
      </c>
      <c r="F43" s="8">
        <f t="shared" si="29"/>
        <v>3.2796672000000006E-2</v>
      </c>
      <c r="G43" s="8">
        <f t="shared" si="29"/>
        <v>1.1273855999999999E-2</v>
      </c>
      <c r="H43" s="8">
        <f t="shared" si="29"/>
        <v>0.25387077674897124</v>
      </c>
      <c r="I43" s="8">
        <f t="shared" si="29"/>
        <v>0.70621740000000011</v>
      </c>
      <c r="J43" s="8">
        <f t="shared" si="29"/>
        <v>0.5188535999999998</v>
      </c>
      <c r="K43" s="8">
        <f t="shared" si="29"/>
        <v>1.6013999999999998E-3</v>
      </c>
      <c r="L43" s="8">
        <f t="shared" si="29"/>
        <v>8.2660500000000005E-3</v>
      </c>
    </row>
    <row r="44" spans="1:12" x14ac:dyDescent="0.25">
      <c r="A44" t="s">
        <v>47</v>
      </c>
      <c r="B44" s="8">
        <f>(B38-B40)</f>
        <v>1331.5429760665972</v>
      </c>
      <c r="C44" s="8">
        <f t="shared" ref="C44:L44" si="30">(C38-C40)</f>
        <v>5909.6041623309047</v>
      </c>
      <c r="D44" s="8">
        <f t="shared" si="30"/>
        <v>4188.2326762499997</v>
      </c>
      <c r="E44" s="8">
        <f t="shared" si="30"/>
        <v>18588.057390000002</v>
      </c>
      <c r="F44" s="8">
        <f t="shared" si="30"/>
        <v>4.5497343999999995E-2</v>
      </c>
      <c r="G44" s="8">
        <f t="shared" si="30"/>
        <v>1.5639711999999997E-2</v>
      </c>
      <c r="H44" s="8">
        <f t="shared" si="30"/>
        <v>0.3521834795096021</v>
      </c>
      <c r="I44" s="8">
        <f t="shared" si="30"/>
        <v>0.97970354999999987</v>
      </c>
      <c r="J44" s="8">
        <f t="shared" si="30"/>
        <v>0.71978219999999982</v>
      </c>
      <c r="K44" s="8">
        <f t="shared" si="30"/>
        <v>2.2215499999999997E-3</v>
      </c>
      <c r="L44" s="8">
        <f t="shared" si="30"/>
        <v>9.8595999999999996E-3</v>
      </c>
    </row>
    <row r="45" spans="1:12" x14ac:dyDescent="0.25">
      <c r="A45" t="s">
        <v>48</v>
      </c>
      <c r="B45" s="8">
        <f>(B38-B40)/(B36+B37+B38)*100</f>
        <v>49.264019712648611</v>
      </c>
      <c r="C45" s="8">
        <f t="shared" ref="C45:L45" si="31">(C38-C40)/(C36+C37+C38)*100</f>
        <v>59.987565460372657</v>
      </c>
      <c r="D45" s="8">
        <f t="shared" si="31"/>
        <v>48.566966668376971</v>
      </c>
      <c r="E45" s="8">
        <f t="shared" si="31"/>
        <v>46.993519583825183</v>
      </c>
      <c r="F45" s="8">
        <f t="shared" si="31"/>
        <v>1.8016493763277703</v>
      </c>
      <c r="G45" s="8">
        <f t="shared" si="31"/>
        <v>3.4535427411784023</v>
      </c>
      <c r="H45" s="8">
        <f t="shared" si="31"/>
        <v>1.4963063936085068</v>
      </c>
      <c r="I45" s="8">
        <f t="shared" si="31"/>
        <v>1.5306353883356798</v>
      </c>
      <c r="J45" s="8">
        <f t="shared" si="31"/>
        <v>2.603882655076152</v>
      </c>
      <c r="K45" s="8">
        <f t="shared" si="31"/>
        <v>0.7992371531320468</v>
      </c>
      <c r="L45" s="8">
        <f t="shared" si="31"/>
        <v>4.3881988445661831E-2</v>
      </c>
    </row>
    <row r="47" spans="1:12" x14ac:dyDescent="0.25">
      <c r="B47" t="str">
        <f t="shared" ref="B47:L47" si="32">B1</f>
        <v>DKIST-16</v>
      </c>
      <c r="C47" t="str">
        <f t="shared" si="32"/>
        <v>DKIST-64</v>
      </c>
      <c r="D47" t="str">
        <f t="shared" si="32"/>
        <v>EST-16</v>
      </c>
      <c r="E47" t="str">
        <f t="shared" si="32"/>
        <v>EST-64</v>
      </c>
      <c r="F47" t="str">
        <f t="shared" si="32"/>
        <v>GeMS</v>
      </c>
      <c r="G47" t="str">
        <f t="shared" si="32"/>
        <v>MAD</v>
      </c>
      <c r="H47" t="str">
        <f t="shared" si="32"/>
        <v>MAVIS</v>
      </c>
      <c r="I47" t="str">
        <f t="shared" si="32"/>
        <v>MORFEO</v>
      </c>
      <c r="J47" t="str">
        <f t="shared" si="32"/>
        <v>NFIRAOS</v>
      </c>
      <c r="K47" t="str">
        <f t="shared" si="32"/>
        <v>ALASCA</v>
      </c>
      <c r="L47" t="str">
        <f t="shared" si="32"/>
        <v>ALASCA</v>
      </c>
    </row>
    <row r="48" spans="1:12" x14ac:dyDescent="0.25">
      <c r="A48" t="str">
        <f t="shared" ref="A48:L48" si="33">A14</f>
        <v>nwfs</v>
      </c>
      <c r="B48" s="2">
        <f t="shared" si="33"/>
        <v>9</v>
      </c>
      <c r="C48" s="2">
        <f t="shared" si="33"/>
        <v>9</v>
      </c>
      <c r="D48" s="2">
        <f t="shared" si="33"/>
        <v>19</v>
      </c>
      <c r="E48" s="2">
        <f t="shared" si="33"/>
        <v>19</v>
      </c>
      <c r="F48" s="2">
        <f t="shared" si="33"/>
        <v>8</v>
      </c>
      <c r="G48" s="2">
        <f t="shared" si="33"/>
        <v>11</v>
      </c>
      <c r="H48" s="2">
        <f t="shared" si="33"/>
        <v>11</v>
      </c>
      <c r="I48" s="2">
        <f t="shared" si="33"/>
        <v>9</v>
      </c>
      <c r="J48" s="2">
        <f t="shared" si="33"/>
        <v>9</v>
      </c>
      <c r="K48" s="2">
        <f t="shared" si="33"/>
        <v>1</v>
      </c>
      <c r="L48" s="2">
        <f t="shared" si="33"/>
        <v>1</v>
      </c>
    </row>
    <row r="49" spans="1:12" x14ac:dyDescent="0.25">
      <c r="A49" t="str">
        <f t="shared" ref="A49:L49" si="34">A11</f>
        <v>nxsub</v>
      </c>
      <c r="B49" s="2">
        <f t="shared" si="34"/>
        <v>43.01075268817204</v>
      </c>
      <c r="C49" s="2">
        <f t="shared" si="34"/>
        <v>43.01075268817204</v>
      </c>
      <c r="D49" s="2">
        <f t="shared" si="34"/>
        <v>52.5</v>
      </c>
      <c r="E49" s="2">
        <f t="shared" si="34"/>
        <v>52.5</v>
      </c>
      <c r="F49" s="2">
        <f t="shared" si="34"/>
        <v>16</v>
      </c>
      <c r="G49" s="2">
        <f t="shared" si="34"/>
        <v>8</v>
      </c>
      <c r="H49" s="2">
        <f t="shared" si="34"/>
        <v>37.962962962962962</v>
      </c>
      <c r="I49" s="2">
        <f t="shared" si="34"/>
        <v>70</v>
      </c>
      <c r="J49" s="2">
        <f t="shared" si="34"/>
        <v>60</v>
      </c>
      <c r="K49" s="2">
        <f t="shared" si="34"/>
        <v>10</v>
      </c>
      <c r="L49" s="2">
        <f t="shared" si="34"/>
        <v>10</v>
      </c>
    </row>
    <row r="50" spans="1:12" x14ac:dyDescent="0.25">
      <c r="A50" t="s">
        <v>45</v>
      </c>
      <c r="B50" s="2">
        <f>B28</f>
        <v>1452.1910047404324</v>
      </c>
      <c r="C50" s="2">
        <f t="shared" ref="C50:L50" si="35">C28</f>
        <v>1452.1910047404324</v>
      </c>
      <c r="D50" s="2">
        <f t="shared" si="35"/>
        <v>2163.65625</v>
      </c>
      <c r="E50" s="2">
        <f t="shared" si="35"/>
        <v>2163.65625</v>
      </c>
      <c r="F50" s="2">
        <f t="shared" si="35"/>
        <v>200.96</v>
      </c>
      <c r="G50" s="2">
        <f t="shared" si="35"/>
        <v>50.24</v>
      </c>
      <c r="H50" s="2">
        <f t="shared" si="35"/>
        <v>1131.3314471879285</v>
      </c>
      <c r="I50" s="2">
        <f t="shared" si="35"/>
        <v>3846.5</v>
      </c>
      <c r="J50" s="2">
        <f t="shared" si="35"/>
        <v>2826</v>
      </c>
      <c r="K50" s="2">
        <f t="shared" si="35"/>
        <v>78.5</v>
      </c>
      <c r="L50" s="2">
        <f t="shared" si="35"/>
        <v>78.5</v>
      </c>
    </row>
    <row r="51" spans="1:12" x14ac:dyDescent="0.25">
      <c r="A51" t="str">
        <f t="shared" ref="A51:L51" si="36">A12</f>
        <v>subpxl</v>
      </c>
      <c r="B51" s="2">
        <f t="shared" si="36"/>
        <v>16</v>
      </c>
      <c r="C51" s="2">
        <f t="shared" si="36"/>
        <v>64</v>
      </c>
      <c r="D51" s="2">
        <f t="shared" si="36"/>
        <v>16</v>
      </c>
      <c r="E51" s="2">
        <f t="shared" si="36"/>
        <v>64</v>
      </c>
      <c r="F51" s="2">
        <f t="shared" si="36"/>
        <v>16</v>
      </c>
      <c r="G51" s="2">
        <f t="shared" si="36"/>
        <v>16</v>
      </c>
      <c r="H51" s="2">
        <f t="shared" si="36"/>
        <v>16</v>
      </c>
      <c r="I51" s="2">
        <f t="shared" si="36"/>
        <v>16</v>
      </c>
      <c r="J51" s="2">
        <f t="shared" si="36"/>
        <v>16</v>
      </c>
      <c r="K51" s="2">
        <f t="shared" si="36"/>
        <v>16</v>
      </c>
      <c r="L51" s="2">
        <f t="shared" si="36"/>
        <v>64</v>
      </c>
    </row>
    <row r="52" spans="1:12" x14ac:dyDescent="0.25">
      <c r="A52" t="str">
        <f t="shared" ref="A52:L52" si="37">A15</f>
        <v>n-isoplan</v>
      </c>
      <c r="B52" s="2">
        <f t="shared" si="37"/>
        <v>3600</v>
      </c>
      <c r="C52" s="2">
        <f t="shared" si="37"/>
        <v>3600</v>
      </c>
      <c r="D52" s="2">
        <f t="shared" si="37"/>
        <v>3600</v>
      </c>
      <c r="E52" s="2">
        <f t="shared" si="37"/>
        <v>3600</v>
      </c>
      <c r="F52" s="2">
        <f t="shared" si="37"/>
        <v>1</v>
      </c>
      <c r="G52" s="2">
        <f t="shared" si="37"/>
        <v>1</v>
      </c>
      <c r="H52" s="2">
        <f t="shared" si="37"/>
        <v>1</v>
      </c>
      <c r="I52" s="2">
        <f t="shared" si="37"/>
        <v>1</v>
      </c>
      <c r="J52" s="2">
        <f t="shared" si="37"/>
        <v>1</v>
      </c>
      <c r="K52" s="2">
        <f t="shared" si="37"/>
        <v>1</v>
      </c>
      <c r="L52" s="2">
        <f t="shared" si="37"/>
        <v>1</v>
      </c>
    </row>
    <row r="53" spans="1:12" x14ac:dyDescent="0.25">
      <c r="A53" t="s">
        <v>40</v>
      </c>
      <c r="B53" s="2">
        <f t="shared" ref="B53:L53" si="38">B16</f>
        <v>3</v>
      </c>
      <c r="C53" s="2">
        <f t="shared" si="38"/>
        <v>3</v>
      </c>
      <c r="D53" s="2">
        <f t="shared" si="38"/>
        <v>5</v>
      </c>
      <c r="E53" s="2">
        <f t="shared" si="38"/>
        <v>5</v>
      </c>
      <c r="F53" s="2">
        <f t="shared" si="38"/>
        <v>3</v>
      </c>
      <c r="G53" s="2">
        <f t="shared" si="38"/>
        <v>2</v>
      </c>
      <c r="H53" s="2">
        <f t="shared" si="38"/>
        <v>3</v>
      </c>
      <c r="I53" s="2">
        <f t="shared" si="38"/>
        <v>3</v>
      </c>
      <c r="J53" s="2">
        <f t="shared" si="38"/>
        <v>2</v>
      </c>
      <c r="K53" s="2">
        <f t="shared" si="38"/>
        <v>2</v>
      </c>
      <c r="L53" s="2">
        <f t="shared" si="38"/>
        <v>2</v>
      </c>
    </row>
    <row r="54" spans="1:12" x14ac:dyDescent="0.25">
      <c r="A54" t="s">
        <v>49</v>
      </c>
      <c r="B54" s="2">
        <f>B53*2-1</f>
        <v>5</v>
      </c>
      <c r="C54" s="2">
        <f t="shared" ref="C54:L54" si="39">C53*2-1</f>
        <v>5</v>
      </c>
      <c r="D54" s="2">
        <f t="shared" si="39"/>
        <v>9</v>
      </c>
      <c r="E54" s="2">
        <f t="shared" si="39"/>
        <v>9</v>
      </c>
      <c r="F54" s="2">
        <f t="shared" si="39"/>
        <v>5</v>
      </c>
      <c r="G54" s="2">
        <f t="shared" si="39"/>
        <v>3</v>
      </c>
      <c r="H54" s="2">
        <f t="shared" si="39"/>
        <v>5</v>
      </c>
      <c r="I54" s="2">
        <f t="shared" si="39"/>
        <v>5</v>
      </c>
      <c r="J54" s="2">
        <f t="shared" si="39"/>
        <v>3</v>
      </c>
      <c r="K54" s="2">
        <f t="shared" si="39"/>
        <v>3</v>
      </c>
      <c r="L54" s="2">
        <f t="shared" si="39"/>
        <v>3</v>
      </c>
    </row>
    <row r="55" spans="1:12" x14ac:dyDescent="0.25">
      <c r="A55" t="str">
        <f t="shared" ref="A55:L55" si="40">A24</f>
        <v>N_ps</v>
      </c>
      <c r="B55" s="2">
        <f t="shared" si="40"/>
        <v>1290.689783914991</v>
      </c>
      <c r="C55" s="2">
        <f t="shared" si="40"/>
        <v>5162.7591356599642</v>
      </c>
      <c r="D55" s="2">
        <f t="shared" si="40"/>
        <v>2117.8374559772274</v>
      </c>
      <c r="E55" s="2">
        <f t="shared" si="40"/>
        <v>8471.3498239089095</v>
      </c>
      <c r="F55" s="2">
        <f t="shared" si="40"/>
        <v>427.53312196527429</v>
      </c>
      <c r="G55" s="2">
        <f t="shared" si="40"/>
        <v>209.02769151243393</v>
      </c>
      <c r="H55" s="2">
        <f t="shared" si="40"/>
        <v>1203.0085253423874</v>
      </c>
      <c r="I55" s="2">
        <f t="shared" si="40"/>
        <v>1521.9407169104211</v>
      </c>
      <c r="J55" s="2">
        <f t="shared" si="40"/>
        <v>1183.5251891583298</v>
      </c>
      <c r="K55" s="2">
        <f t="shared" si="40"/>
        <v>243.02584874189833</v>
      </c>
      <c r="L55" s="2">
        <f t="shared" si="40"/>
        <v>972.10339496759332</v>
      </c>
    </row>
    <row r="56" spans="1:12" x14ac:dyDescent="0.25">
      <c r="A56" t="str">
        <f t="shared" ref="A56:L56" si="41">A25</f>
        <v>N_prop</v>
      </c>
      <c r="B56" s="2">
        <f t="shared" si="41"/>
        <v>800.34188718332962</v>
      </c>
      <c r="C56" s="2">
        <f t="shared" si="41"/>
        <v>4295.3391061387993</v>
      </c>
      <c r="D56" s="2">
        <f t="shared" si="41"/>
        <v>1097.1428571428571</v>
      </c>
      <c r="E56" s="2">
        <f t="shared" si="41"/>
        <v>6788.5714285714284</v>
      </c>
      <c r="F56" s="2">
        <f t="shared" si="41"/>
        <v>260.70494758084817</v>
      </c>
      <c r="G56" s="2">
        <f t="shared" si="41"/>
        <v>129.55148653870552</v>
      </c>
      <c r="H56" s="2">
        <f t="shared" si="41"/>
        <v>636.13484576683379</v>
      </c>
      <c r="I56" s="2">
        <f t="shared" si="41"/>
        <v>1127.8806744656868</v>
      </c>
      <c r="J56" s="2">
        <f t="shared" si="41"/>
        <v>965.48181256348607</v>
      </c>
      <c r="K56" s="2">
        <f t="shared" si="41"/>
        <v>257.51239534275726</v>
      </c>
      <c r="L56" s="2">
        <f t="shared" si="41"/>
        <v>2412.5439999999999</v>
      </c>
    </row>
    <row r="57" spans="1:12" x14ac:dyDescent="0.25">
      <c r="B57" s="2" t="str">
        <f t="shared" ref="B57:L57" si="42">B1</f>
        <v>DKIST-16</v>
      </c>
      <c r="C57" s="2" t="str">
        <f t="shared" si="42"/>
        <v>DKIST-64</v>
      </c>
      <c r="D57" s="2" t="str">
        <f t="shared" si="42"/>
        <v>EST-16</v>
      </c>
      <c r="E57" s="2" t="str">
        <f t="shared" si="42"/>
        <v>EST-64</v>
      </c>
      <c r="F57" s="2" t="str">
        <f t="shared" si="42"/>
        <v>GeMS</v>
      </c>
      <c r="G57" s="2" t="str">
        <f t="shared" si="42"/>
        <v>MAD</v>
      </c>
      <c r="H57" s="2" t="str">
        <f t="shared" si="42"/>
        <v>MAVIS</v>
      </c>
      <c r="I57" s="2" t="str">
        <f t="shared" si="42"/>
        <v>MORFEO</v>
      </c>
      <c r="J57" s="2" t="str">
        <f t="shared" si="42"/>
        <v>NFIRAOS</v>
      </c>
      <c r="K57" s="2" t="str">
        <f t="shared" si="42"/>
        <v>ALASCA</v>
      </c>
      <c r="L57" s="2" t="str">
        <f t="shared" si="42"/>
        <v>ALASCA</v>
      </c>
    </row>
    <row r="58" spans="1:12" x14ac:dyDescent="0.25">
      <c r="A58" t="str">
        <f t="shared" ref="A58:L58" si="43">A30</f>
        <v>t_ps</v>
      </c>
      <c r="B58" s="1">
        <f t="shared" si="43"/>
        <v>1.53</v>
      </c>
      <c r="C58" s="1">
        <f t="shared" si="43"/>
        <v>20</v>
      </c>
      <c r="D58" s="1">
        <f t="shared" si="43"/>
        <v>3.84</v>
      </c>
      <c r="E58" s="1">
        <f t="shared" si="43"/>
        <v>50.2</v>
      </c>
      <c r="F58" s="1">
        <f t="shared" si="43"/>
        <v>0.19800000000000001</v>
      </c>
      <c r="G58" s="1">
        <f t="shared" si="43"/>
        <v>5.2499999999999998E-2</v>
      </c>
      <c r="H58" s="1">
        <f t="shared" si="43"/>
        <v>1.34</v>
      </c>
      <c r="I58" s="1">
        <f t="shared" si="43"/>
        <v>2.08</v>
      </c>
      <c r="J58" s="1">
        <f t="shared" si="43"/>
        <v>1.3</v>
      </c>
      <c r="K58" s="1">
        <f t="shared" si="43"/>
        <v>6.9400000000000003E-2</v>
      </c>
      <c r="L58" s="1">
        <f t="shared" si="43"/>
        <v>0.90700000000000003</v>
      </c>
    </row>
    <row r="59" spans="1:12" x14ac:dyDescent="0.25">
      <c r="A59" t="str">
        <f t="shared" ref="A59:L59" si="44">A31</f>
        <v>t_prop</v>
      </c>
      <c r="B59" s="1">
        <f t="shared" si="44"/>
        <v>0.57299999999999995</v>
      </c>
      <c r="C59" s="1">
        <f t="shared" si="44"/>
        <v>25.2</v>
      </c>
      <c r="D59" s="1">
        <f t="shared" si="44"/>
        <v>1.1599999999999999</v>
      </c>
      <c r="E59" s="1">
        <f t="shared" si="44"/>
        <v>70.599999999999994</v>
      </c>
      <c r="F59" s="1">
        <f t="shared" si="44"/>
        <v>4.5999999999999999E-2</v>
      </c>
      <c r="G59" s="1">
        <f t="shared" si="44"/>
        <v>9.5899999999999996E-3</v>
      </c>
      <c r="H59" s="1">
        <f t="shared" si="44"/>
        <v>0.34200000000000003</v>
      </c>
      <c r="I59" s="1">
        <f t="shared" si="44"/>
        <v>1.24</v>
      </c>
      <c r="J59" s="1">
        <f t="shared" si="44"/>
        <v>0.874</v>
      </c>
      <c r="K59" s="1">
        <f t="shared" si="44"/>
        <v>4.4900000000000002E-2</v>
      </c>
      <c r="L59" s="1">
        <f t="shared" si="44"/>
        <v>6.88</v>
      </c>
    </row>
    <row r="60" spans="1:12" x14ac:dyDescent="0.25">
      <c r="A60" t="str">
        <f t="shared" ref="A60:L60" si="45">A32</f>
        <v>t_FT</v>
      </c>
      <c r="B60" s="1">
        <f t="shared" si="45"/>
        <v>5.6799999999999998E-5</v>
      </c>
      <c r="C60" s="1">
        <f t="shared" si="45"/>
        <v>1.84E-4</v>
      </c>
      <c r="D60" s="1">
        <f t="shared" si="45"/>
        <v>5.6799999999999998E-5</v>
      </c>
      <c r="E60" s="1">
        <f t="shared" si="45"/>
        <v>1.84E-4</v>
      </c>
      <c r="F60" s="1">
        <f t="shared" si="45"/>
        <v>5.6799999999999998E-5</v>
      </c>
      <c r="G60" s="1">
        <f t="shared" si="45"/>
        <v>5.6799999999999998E-5</v>
      </c>
      <c r="H60" s="1">
        <f t="shared" si="45"/>
        <v>5.6799999999999998E-5</v>
      </c>
      <c r="I60" s="1">
        <f t="shared" si="45"/>
        <v>5.6799999999999998E-5</v>
      </c>
      <c r="J60" s="1">
        <f t="shared" si="45"/>
        <v>5.6799999999999998E-5</v>
      </c>
      <c r="K60" s="1">
        <f t="shared" si="45"/>
        <v>5.6799999999999998E-5</v>
      </c>
      <c r="L60" s="1">
        <f t="shared" si="45"/>
        <v>1.84E-4</v>
      </c>
    </row>
    <row r="61" spans="1:12" x14ac:dyDescent="0.25">
      <c r="A61" t="str">
        <f t="shared" ref="A61:L61" si="46">A33</f>
        <v>t_IG</v>
      </c>
      <c r="B61" s="1">
        <f t="shared" si="46"/>
        <v>3.6399999999999997E-5</v>
      </c>
      <c r="C61" s="1">
        <f t="shared" si="46"/>
        <v>7.8700000000000002E-5</v>
      </c>
      <c r="D61" s="1">
        <f t="shared" si="46"/>
        <v>3.6399999999999997E-5</v>
      </c>
      <c r="E61" s="1">
        <f t="shared" si="46"/>
        <v>7.8700000000000002E-5</v>
      </c>
      <c r="F61" s="1">
        <f t="shared" si="46"/>
        <v>3.6399999999999997E-5</v>
      </c>
      <c r="G61" s="1">
        <f t="shared" si="46"/>
        <v>3.6399999999999997E-5</v>
      </c>
      <c r="H61" s="1">
        <f t="shared" si="46"/>
        <v>3.6399999999999997E-5</v>
      </c>
      <c r="I61" s="1">
        <f t="shared" si="46"/>
        <v>3.6399999999999997E-5</v>
      </c>
      <c r="J61" s="1">
        <f t="shared" si="46"/>
        <v>3.6399999999999997E-5</v>
      </c>
      <c r="K61" s="1">
        <f t="shared" si="46"/>
        <v>3.6399999999999997E-5</v>
      </c>
      <c r="L61" s="1">
        <f t="shared" si="46"/>
        <v>7.8700000000000002E-5</v>
      </c>
    </row>
    <row r="62" spans="1:12" x14ac:dyDescent="0.25">
      <c r="A62" t="s">
        <v>41</v>
      </c>
      <c r="B62" s="1">
        <f t="shared" ref="B62:L62" si="47">B34</f>
        <v>2.8500000000000002E-5</v>
      </c>
      <c r="C62" s="1">
        <f t="shared" si="47"/>
        <v>5.8400000000000003E-5</v>
      </c>
      <c r="D62" s="1">
        <f t="shared" si="47"/>
        <v>2.8500000000000002E-5</v>
      </c>
      <c r="E62" s="1">
        <f t="shared" si="47"/>
        <v>5.8400000000000003E-5</v>
      </c>
      <c r="F62" s="1">
        <f t="shared" si="47"/>
        <v>2.8500000000000002E-5</v>
      </c>
      <c r="G62" s="1">
        <f t="shared" si="47"/>
        <v>2.8500000000000002E-5</v>
      </c>
      <c r="H62" s="1">
        <f t="shared" si="47"/>
        <v>2.8500000000000002E-5</v>
      </c>
      <c r="I62" s="1">
        <f t="shared" si="47"/>
        <v>2.8500000000000002E-5</v>
      </c>
      <c r="J62" s="1">
        <f t="shared" si="47"/>
        <v>2.8500000000000002E-5</v>
      </c>
      <c r="K62" s="1">
        <f t="shared" si="47"/>
        <v>2.8500000000000002E-5</v>
      </c>
      <c r="L62" s="1">
        <f t="shared" si="47"/>
        <v>5.8400000000000003E-5</v>
      </c>
    </row>
    <row r="63" spans="1:12" x14ac:dyDescent="0.25">
      <c r="B63" s="1" t="str">
        <f>B57</f>
        <v>DKIST-16</v>
      </c>
      <c r="C63" s="1" t="str">
        <f t="shared" ref="C63:L63" si="48">C57</f>
        <v>DKIST-64</v>
      </c>
      <c r="D63" s="1" t="str">
        <f t="shared" si="48"/>
        <v>EST-16</v>
      </c>
      <c r="E63" s="1" t="str">
        <f t="shared" si="48"/>
        <v>EST-64</v>
      </c>
      <c r="F63" s="1" t="str">
        <f t="shared" si="48"/>
        <v>GeMS</v>
      </c>
      <c r="G63" s="1" t="str">
        <f t="shared" si="48"/>
        <v>MAD</v>
      </c>
      <c r="H63" s="1" t="str">
        <f t="shared" si="48"/>
        <v>MAVIS</v>
      </c>
      <c r="I63" s="1" t="str">
        <f t="shared" si="48"/>
        <v>MORFEO</v>
      </c>
      <c r="J63" s="1" t="str">
        <f t="shared" si="48"/>
        <v>NFIRAOS</v>
      </c>
      <c r="K63" s="1" t="str">
        <f t="shared" si="48"/>
        <v>ALASCA</v>
      </c>
      <c r="L63" s="1" t="str">
        <f t="shared" si="48"/>
        <v>ALASCA</v>
      </c>
    </row>
    <row r="64" spans="1:12" x14ac:dyDescent="0.25">
      <c r="A64" t="str">
        <f t="shared" ref="A64:L64" si="49">A36</f>
        <v>T_ps</v>
      </c>
      <c r="B64" s="1">
        <f t="shared" si="49"/>
        <v>4.59</v>
      </c>
      <c r="C64" s="1">
        <f t="shared" si="49"/>
        <v>60</v>
      </c>
      <c r="D64" s="1">
        <f t="shared" si="49"/>
        <v>19.2</v>
      </c>
      <c r="E64" s="1">
        <f t="shared" si="49"/>
        <v>251</v>
      </c>
      <c r="F64" s="1">
        <f t="shared" si="49"/>
        <v>0.59400000000000008</v>
      </c>
      <c r="G64" s="1">
        <f t="shared" si="49"/>
        <v>0.105</v>
      </c>
      <c r="H64" s="1">
        <f t="shared" si="49"/>
        <v>4.0200000000000005</v>
      </c>
      <c r="I64" s="1">
        <f t="shared" si="49"/>
        <v>6.24</v>
      </c>
      <c r="J64" s="1">
        <f t="shared" si="49"/>
        <v>2.6</v>
      </c>
      <c r="K64" s="1">
        <f t="shared" si="49"/>
        <v>0.13880000000000001</v>
      </c>
      <c r="L64" s="1">
        <f t="shared" si="49"/>
        <v>1.8140000000000001</v>
      </c>
    </row>
    <row r="65" spans="1:25" x14ac:dyDescent="0.25">
      <c r="A65" t="str">
        <f t="shared" ref="A65:L65" si="50">A37</f>
        <v>T_prop</v>
      </c>
      <c r="B65" s="1">
        <f t="shared" si="50"/>
        <v>25.785</v>
      </c>
      <c r="C65" s="1">
        <f t="shared" si="50"/>
        <v>1134</v>
      </c>
      <c r="D65" s="1">
        <f t="shared" si="50"/>
        <v>198.35999999999999</v>
      </c>
      <c r="E65" s="1">
        <f t="shared" si="50"/>
        <v>12072.599999999999</v>
      </c>
      <c r="F65" s="1">
        <f t="shared" si="50"/>
        <v>1.8399999999999999</v>
      </c>
      <c r="G65" s="1">
        <f t="shared" si="50"/>
        <v>0.31647000000000003</v>
      </c>
      <c r="H65" s="1">
        <f t="shared" si="50"/>
        <v>18.810000000000002</v>
      </c>
      <c r="I65" s="1">
        <f t="shared" si="50"/>
        <v>55.8</v>
      </c>
      <c r="J65" s="1">
        <f t="shared" si="50"/>
        <v>23.597999999999999</v>
      </c>
      <c r="K65" s="1">
        <f t="shared" si="50"/>
        <v>0.13470000000000001</v>
      </c>
      <c r="L65" s="1">
        <f t="shared" si="50"/>
        <v>20.64</v>
      </c>
    </row>
    <row r="66" spans="1:25" x14ac:dyDescent="0.25">
      <c r="A66" t="str">
        <f t="shared" ref="A66:L66" si="51">A38</f>
        <v>T_FT</v>
      </c>
      <c r="B66" s="1">
        <f t="shared" si="51"/>
        <v>2672.4961498439125</v>
      </c>
      <c r="C66" s="1">
        <f t="shared" si="51"/>
        <v>8657.3818938605618</v>
      </c>
      <c r="D66" s="1">
        <f t="shared" si="51"/>
        <v>8406.0641699999996</v>
      </c>
      <c r="E66" s="1">
        <f t="shared" si="51"/>
        <v>27230.912100000001</v>
      </c>
      <c r="F66" s="1">
        <f t="shared" si="51"/>
        <v>9.1316224000000001E-2</v>
      </c>
      <c r="G66" s="1">
        <f t="shared" si="51"/>
        <v>3.1389951999999999E-2</v>
      </c>
      <c r="H66" s="1">
        <f t="shared" si="51"/>
        <v>0.7068558882030177</v>
      </c>
      <c r="I66" s="1">
        <f t="shared" si="51"/>
        <v>1.9663307999999999</v>
      </c>
      <c r="J66" s="1">
        <f t="shared" si="51"/>
        <v>1.4446511999999998</v>
      </c>
      <c r="K66" s="1">
        <f t="shared" si="51"/>
        <v>4.4587999999999997E-3</v>
      </c>
      <c r="L66" s="1">
        <f t="shared" si="51"/>
        <v>1.4444E-2</v>
      </c>
    </row>
    <row r="67" spans="1:25" x14ac:dyDescent="0.25">
      <c r="A67" t="str">
        <f t="shared" ref="A67:L67" si="52">A39</f>
        <v>T_IG</v>
      </c>
      <c r="B67" s="1">
        <f t="shared" si="52"/>
        <v>1712.6559833506763</v>
      </c>
      <c r="C67" s="1">
        <f t="shared" si="52"/>
        <v>3702.9127991675341</v>
      </c>
      <c r="D67" s="1">
        <f t="shared" si="52"/>
        <v>5386.9847849999987</v>
      </c>
      <c r="E67" s="1">
        <f t="shared" si="52"/>
        <v>11647.134686250001</v>
      </c>
      <c r="F67" s="1">
        <f t="shared" si="52"/>
        <v>5.8519551999999996E-2</v>
      </c>
      <c r="G67" s="1">
        <f t="shared" si="52"/>
        <v>2.0116096E-2</v>
      </c>
      <c r="H67" s="1">
        <f t="shared" si="52"/>
        <v>0.45298511145404646</v>
      </c>
      <c r="I67" s="1">
        <f t="shared" si="52"/>
        <v>1.2601133999999998</v>
      </c>
      <c r="J67" s="1">
        <f t="shared" si="52"/>
        <v>0.9257976</v>
      </c>
      <c r="K67" s="1">
        <f t="shared" si="52"/>
        <v>2.8574E-3</v>
      </c>
      <c r="L67" s="1">
        <f t="shared" si="52"/>
        <v>6.1779499999999998E-3</v>
      </c>
    </row>
    <row r="68" spans="1:25" x14ac:dyDescent="0.25">
      <c r="A68" t="s">
        <v>42</v>
      </c>
      <c r="B68" s="1">
        <f t="shared" ref="B68:L68" si="53">B40</f>
        <v>1340.9531737773152</v>
      </c>
      <c r="C68" s="1">
        <f t="shared" si="53"/>
        <v>2747.7777315296566</v>
      </c>
      <c r="D68" s="1">
        <f t="shared" si="53"/>
        <v>4217.8314937499999</v>
      </c>
      <c r="E68" s="1">
        <f t="shared" si="53"/>
        <v>8642.8547099999996</v>
      </c>
      <c r="F68" s="1">
        <f t="shared" si="53"/>
        <v>4.5818880000000006E-2</v>
      </c>
      <c r="G68" s="1">
        <f t="shared" si="53"/>
        <v>1.5750240000000002E-2</v>
      </c>
      <c r="H68" s="1">
        <f t="shared" si="53"/>
        <v>0.3546724086934156</v>
      </c>
      <c r="I68" s="1">
        <f t="shared" si="53"/>
        <v>0.98662725000000007</v>
      </c>
      <c r="J68" s="1">
        <f t="shared" si="53"/>
        <v>0.72486899999999999</v>
      </c>
      <c r="K68" s="1">
        <f t="shared" si="53"/>
        <v>2.2372500000000001E-3</v>
      </c>
      <c r="L68" s="1">
        <f t="shared" si="53"/>
        <v>4.5844000000000006E-3</v>
      </c>
    </row>
    <row r="69" spans="1:25" x14ac:dyDescent="0.25">
      <c r="A69" t="str">
        <f t="shared" ref="A69:L69" si="54">A43</f>
        <v>benefit-IG (s)</v>
      </c>
      <c r="B69" s="1">
        <f t="shared" si="54"/>
        <v>959.84016649323621</v>
      </c>
      <c r="C69" s="1">
        <f t="shared" si="54"/>
        <v>4954.4690946930277</v>
      </c>
      <c r="D69" s="1">
        <f t="shared" si="54"/>
        <v>3019.0793850000009</v>
      </c>
      <c r="E69" s="1">
        <f t="shared" si="54"/>
        <v>15583.77741375</v>
      </c>
      <c r="F69" s="1">
        <f t="shared" si="54"/>
        <v>3.2796672000000006E-2</v>
      </c>
      <c r="G69" s="1">
        <f t="shared" si="54"/>
        <v>1.1273855999999999E-2</v>
      </c>
      <c r="H69" s="1">
        <f t="shared" si="54"/>
        <v>0.25387077674897124</v>
      </c>
      <c r="I69" s="1">
        <f t="shared" si="54"/>
        <v>0.70621740000000011</v>
      </c>
      <c r="J69" s="1">
        <f t="shared" si="54"/>
        <v>0.5188535999999998</v>
      </c>
      <c r="K69" s="1">
        <f t="shared" si="54"/>
        <v>1.6013999999999998E-3</v>
      </c>
      <c r="L69" s="1">
        <f t="shared" si="54"/>
        <v>8.2660500000000005E-3</v>
      </c>
    </row>
    <row r="70" spans="1:25" x14ac:dyDescent="0.25">
      <c r="A70" t="str">
        <f t="shared" ref="A70:L70" si="55">A42</f>
        <v>benefit-IG (%)</v>
      </c>
      <c r="B70" s="10">
        <f t="shared" si="55"/>
        <v>35.511872867068263</v>
      </c>
      <c r="C70" s="10">
        <f t="shared" si="55"/>
        <v>50.292122953640458</v>
      </c>
      <c r="D70" s="10">
        <f t="shared" si="55"/>
        <v>35.009403534801784</v>
      </c>
      <c r="E70" s="10">
        <f t="shared" si="55"/>
        <v>39.398229396312033</v>
      </c>
      <c r="F70" s="10">
        <f t="shared" si="55"/>
        <v>1.2987154514871562</v>
      </c>
      <c r="G70" s="10">
        <f t="shared" si="55"/>
        <v>2.4894795731462689</v>
      </c>
      <c r="H70" s="10">
        <f t="shared" si="55"/>
        <v>1.0786095558167335</v>
      </c>
      <c r="I70" s="10">
        <f t="shared" si="55"/>
        <v>1.1033555449486883</v>
      </c>
      <c r="J70" s="10">
        <f t="shared" si="55"/>
        <v>1.8770037513623143</v>
      </c>
      <c r="K70" s="10">
        <f t="shared" si="55"/>
        <v>0.57612854854748252</v>
      </c>
      <c r="L70" s="10">
        <f t="shared" si="55"/>
        <v>3.6789597001020628E-2</v>
      </c>
    </row>
    <row r="71" spans="1:25" x14ac:dyDescent="0.25">
      <c r="A71" t="str">
        <f t="shared" ref="A71:L71" si="56">A44</f>
        <v>benefit-G (s)</v>
      </c>
      <c r="B71" s="1">
        <f t="shared" si="56"/>
        <v>1331.5429760665972</v>
      </c>
      <c r="C71" s="1">
        <f t="shared" si="56"/>
        <v>5909.6041623309047</v>
      </c>
      <c r="D71" s="1">
        <f t="shared" si="56"/>
        <v>4188.2326762499997</v>
      </c>
      <c r="E71" s="1">
        <f t="shared" si="56"/>
        <v>18588.057390000002</v>
      </c>
      <c r="F71" s="1">
        <f t="shared" si="56"/>
        <v>4.5497343999999995E-2</v>
      </c>
      <c r="G71" s="1">
        <f t="shared" si="56"/>
        <v>1.5639711999999997E-2</v>
      </c>
      <c r="H71" s="1">
        <f t="shared" si="56"/>
        <v>0.3521834795096021</v>
      </c>
      <c r="I71" s="1">
        <f t="shared" si="56"/>
        <v>0.97970354999999987</v>
      </c>
      <c r="J71" s="1">
        <f t="shared" si="56"/>
        <v>0.71978219999999982</v>
      </c>
      <c r="K71" s="1">
        <f t="shared" si="56"/>
        <v>2.2215499999999997E-3</v>
      </c>
      <c r="L71" s="1">
        <f t="shared" si="56"/>
        <v>9.8595999999999996E-3</v>
      </c>
    </row>
    <row r="72" spans="1:25" ht="15.75" thickBot="1" x14ac:dyDescent="0.3">
      <c r="A72" t="str">
        <f t="shared" ref="A72:L72" si="57">A45</f>
        <v>benefit-G (%)</v>
      </c>
      <c r="B72" s="10">
        <f t="shared" si="57"/>
        <v>49.264019712648611</v>
      </c>
      <c r="C72" s="10">
        <f t="shared" si="57"/>
        <v>59.987565460372657</v>
      </c>
      <c r="D72" s="10">
        <f t="shared" si="57"/>
        <v>48.566966668376971</v>
      </c>
      <c r="E72" s="10">
        <f t="shared" si="57"/>
        <v>46.993519583825183</v>
      </c>
      <c r="F72" s="10">
        <f t="shared" si="57"/>
        <v>1.8016493763277703</v>
      </c>
      <c r="G72" s="10">
        <f t="shared" si="57"/>
        <v>3.4535427411784023</v>
      </c>
      <c r="H72" s="10">
        <f t="shared" si="57"/>
        <v>1.4963063936085068</v>
      </c>
      <c r="I72" s="10">
        <f t="shared" si="57"/>
        <v>1.5306353883356798</v>
      </c>
      <c r="J72" s="10">
        <f t="shared" si="57"/>
        <v>2.603882655076152</v>
      </c>
      <c r="K72" s="10">
        <f t="shared" si="57"/>
        <v>0.7992371531320468</v>
      </c>
      <c r="L72" s="10">
        <f t="shared" si="57"/>
        <v>4.3881988445661831E-2</v>
      </c>
    </row>
    <row r="73" spans="1:25" x14ac:dyDescent="0.25">
      <c r="N73" s="12" t="s">
        <v>64</v>
      </c>
      <c r="O73" s="13"/>
      <c r="P73" s="13"/>
      <c r="Q73" s="13"/>
      <c r="R73" s="13"/>
      <c r="S73" s="13"/>
      <c r="T73" s="13"/>
      <c r="U73" s="13"/>
      <c r="V73" s="14"/>
    </row>
    <row r="74" spans="1:25" x14ac:dyDescent="0.25">
      <c r="A74">
        <f>A57</f>
        <v>0</v>
      </c>
      <c r="B74" t="str">
        <f t="shared" ref="B74:L74" si="58">B57</f>
        <v>DKIST-16</v>
      </c>
      <c r="C74" t="str">
        <f t="shared" si="58"/>
        <v>DKIST-64</v>
      </c>
      <c r="D74" t="str">
        <f t="shared" si="58"/>
        <v>EST-16</v>
      </c>
      <c r="E74" t="str">
        <f t="shared" si="58"/>
        <v>EST-64</v>
      </c>
      <c r="F74" t="str">
        <f t="shared" si="58"/>
        <v>GeMS</v>
      </c>
      <c r="G74" t="str">
        <f t="shared" si="58"/>
        <v>MAD</v>
      </c>
      <c r="H74" t="str">
        <f t="shared" si="58"/>
        <v>MAVIS</v>
      </c>
      <c r="I74" t="str">
        <f t="shared" si="58"/>
        <v>MORFEO</v>
      </c>
      <c r="J74" t="str">
        <f t="shared" si="58"/>
        <v>NFIRAOS</v>
      </c>
      <c r="K74" t="str">
        <f t="shared" si="58"/>
        <v>ALASCA</v>
      </c>
      <c r="L74" t="str">
        <f t="shared" si="58"/>
        <v>ALASCA</v>
      </c>
      <c r="N74" s="15">
        <f>A74</f>
        <v>0</v>
      </c>
      <c r="O74" s="16" t="str">
        <f t="shared" ref="O74:V76" si="59">B74</f>
        <v>DKIST-16</v>
      </c>
      <c r="P74" s="16" t="str">
        <f t="shared" si="59"/>
        <v>DKIST-64</v>
      </c>
      <c r="Q74" s="16" t="str">
        <f t="shared" si="59"/>
        <v>EST-16</v>
      </c>
      <c r="R74" s="16" t="str">
        <f t="shared" si="59"/>
        <v>EST-64</v>
      </c>
      <c r="S74" s="16" t="str">
        <f t="shared" si="59"/>
        <v>GeMS</v>
      </c>
      <c r="T74" s="16" t="str">
        <f t="shared" si="59"/>
        <v>MAD</v>
      </c>
      <c r="U74" s="16" t="str">
        <f t="shared" si="59"/>
        <v>MAVIS</v>
      </c>
      <c r="V74" s="17" t="str">
        <f t="shared" si="59"/>
        <v>MORFEO</v>
      </c>
      <c r="W74" t="str">
        <f t="shared" ref="W74:W76" si="60">J74</f>
        <v>NFIRAOS</v>
      </c>
      <c r="X74" t="str">
        <f t="shared" ref="X74:X76" si="61">K74</f>
        <v>ALASCA</v>
      </c>
      <c r="Y74" t="str">
        <f t="shared" ref="Y74:Y76" si="62">L74</f>
        <v>ALASCA</v>
      </c>
    </row>
    <row r="75" spans="1:25" x14ac:dyDescent="0.25">
      <c r="A75" t="str">
        <f t="shared" ref="A75:L75" si="63">A58</f>
        <v>t_ps</v>
      </c>
      <c r="B75" s="1">
        <f t="shared" si="63"/>
        <v>1.53</v>
      </c>
      <c r="C75" s="1">
        <f t="shared" si="63"/>
        <v>20</v>
      </c>
      <c r="D75" s="1">
        <f t="shared" si="63"/>
        <v>3.84</v>
      </c>
      <c r="E75" s="1">
        <f t="shared" si="63"/>
        <v>50.2</v>
      </c>
      <c r="F75" s="1">
        <f t="shared" si="63"/>
        <v>0.19800000000000001</v>
      </c>
      <c r="G75" s="1">
        <f t="shared" si="63"/>
        <v>5.2499999999999998E-2</v>
      </c>
      <c r="H75" s="1">
        <f t="shared" si="63"/>
        <v>1.34</v>
      </c>
      <c r="I75" s="1">
        <f t="shared" si="63"/>
        <v>2.08</v>
      </c>
      <c r="J75" s="1">
        <f t="shared" si="63"/>
        <v>1.3</v>
      </c>
      <c r="K75" s="1">
        <f t="shared" si="63"/>
        <v>6.9400000000000003E-2</v>
      </c>
      <c r="L75" s="1">
        <f t="shared" si="63"/>
        <v>0.90700000000000003</v>
      </c>
      <c r="N75" s="15" t="str">
        <f t="shared" ref="N75:N91" si="64">A75</f>
        <v>t_ps</v>
      </c>
      <c r="O75" s="19">
        <f t="shared" ref="O75:O82" si="65">B75</f>
        <v>1.53</v>
      </c>
      <c r="P75" s="19">
        <f t="shared" si="59"/>
        <v>20</v>
      </c>
      <c r="Q75" s="19">
        <f t="shared" si="59"/>
        <v>3.84</v>
      </c>
      <c r="R75" s="19">
        <f t="shared" si="59"/>
        <v>50.2</v>
      </c>
      <c r="S75" s="19">
        <f t="shared" si="59"/>
        <v>0.19800000000000001</v>
      </c>
      <c r="T75" s="19">
        <f t="shared" si="59"/>
        <v>5.2499999999999998E-2</v>
      </c>
      <c r="U75" s="19">
        <f t="shared" si="59"/>
        <v>1.34</v>
      </c>
      <c r="V75" s="19">
        <f t="shared" si="59"/>
        <v>2.08</v>
      </c>
      <c r="W75" s="19">
        <f t="shared" si="60"/>
        <v>1.3</v>
      </c>
      <c r="X75" s="19">
        <f t="shared" si="61"/>
        <v>6.9400000000000003E-2</v>
      </c>
      <c r="Y75" s="19">
        <f t="shared" si="62"/>
        <v>0.90700000000000003</v>
      </c>
    </row>
    <row r="76" spans="1:25" x14ac:dyDescent="0.25">
      <c r="A76" t="str">
        <f t="shared" ref="A76:L76" si="66">A59</f>
        <v>t_prop</v>
      </c>
      <c r="B76" s="1">
        <f t="shared" si="66"/>
        <v>0.57299999999999995</v>
      </c>
      <c r="C76" s="1">
        <f t="shared" si="66"/>
        <v>25.2</v>
      </c>
      <c r="D76" s="1">
        <f t="shared" si="66"/>
        <v>1.1599999999999999</v>
      </c>
      <c r="E76" s="1">
        <f t="shared" si="66"/>
        <v>70.599999999999994</v>
      </c>
      <c r="F76" s="1">
        <f t="shared" si="66"/>
        <v>4.5999999999999999E-2</v>
      </c>
      <c r="G76" s="1">
        <f t="shared" si="66"/>
        <v>9.5899999999999996E-3</v>
      </c>
      <c r="H76" s="1">
        <f t="shared" si="66"/>
        <v>0.34200000000000003</v>
      </c>
      <c r="I76" s="1">
        <f t="shared" si="66"/>
        <v>1.24</v>
      </c>
      <c r="J76" s="1">
        <f t="shared" si="66"/>
        <v>0.874</v>
      </c>
      <c r="K76" s="1">
        <f t="shared" si="66"/>
        <v>4.4900000000000002E-2</v>
      </c>
      <c r="L76" s="1">
        <f t="shared" si="66"/>
        <v>6.88</v>
      </c>
      <c r="N76" s="15" t="str">
        <f t="shared" si="64"/>
        <v>t_prop</v>
      </c>
      <c r="O76" s="19">
        <f t="shared" si="65"/>
        <v>0.57299999999999995</v>
      </c>
      <c r="P76" s="19">
        <f t="shared" si="59"/>
        <v>25.2</v>
      </c>
      <c r="Q76" s="19">
        <f t="shared" si="59"/>
        <v>1.1599999999999999</v>
      </c>
      <c r="R76" s="19">
        <f t="shared" si="59"/>
        <v>70.599999999999994</v>
      </c>
      <c r="S76" s="19">
        <f t="shared" si="59"/>
        <v>4.5999999999999999E-2</v>
      </c>
      <c r="T76" s="19">
        <f t="shared" si="59"/>
        <v>9.5899999999999996E-3</v>
      </c>
      <c r="U76" s="19">
        <f t="shared" si="59"/>
        <v>0.34200000000000003</v>
      </c>
      <c r="V76" s="19">
        <f t="shared" si="59"/>
        <v>1.24</v>
      </c>
      <c r="W76" s="19">
        <f t="shared" si="60"/>
        <v>0.874</v>
      </c>
      <c r="X76" s="19">
        <f t="shared" si="61"/>
        <v>4.4900000000000002E-2</v>
      </c>
      <c r="Y76" s="19">
        <f t="shared" si="62"/>
        <v>6.88</v>
      </c>
    </row>
    <row r="77" spans="1:25" x14ac:dyDescent="0.25">
      <c r="A77" t="str">
        <f t="shared" ref="A77:L77" si="67">A60</f>
        <v>t_FT</v>
      </c>
      <c r="B77" s="1">
        <f t="shared" si="67"/>
        <v>5.6799999999999998E-5</v>
      </c>
      <c r="C77" s="1">
        <f t="shared" si="67"/>
        <v>1.84E-4</v>
      </c>
      <c r="D77" s="1">
        <f t="shared" si="67"/>
        <v>5.6799999999999998E-5</v>
      </c>
      <c r="E77" s="1">
        <f t="shared" si="67"/>
        <v>1.84E-4</v>
      </c>
      <c r="F77" s="1">
        <f t="shared" si="67"/>
        <v>5.6799999999999998E-5</v>
      </c>
      <c r="G77" s="1">
        <f t="shared" si="67"/>
        <v>5.6799999999999998E-5</v>
      </c>
      <c r="H77" s="1">
        <f t="shared" si="67"/>
        <v>5.6799999999999998E-5</v>
      </c>
      <c r="I77" s="1">
        <f t="shared" si="67"/>
        <v>5.6799999999999998E-5</v>
      </c>
      <c r="J77" s="1">
        <f t="shared" si="67"/>
        <v>5.6799999999999998E-5</v>
      </c>
      <c r="K77" s="1">
        <f t="shared" si="67"/>
        <v>5.6799999999999998E-5</v>
      </c>
      <c r="L77" s="1">
        <f t="shared" si="67"/>
        <v>1.84E-4</v>
      </c>
      <c r="N77" s="15" t="str">
        <f>A80</f>
        <v>t_correlate</v>
      </c>
      <c r="O77" s="19">
        <f>B80</f>
        <v>9.0000000000000006E-5</v>
      </c>
      <c r="P77" s="19">
        <f t="shared" ref="P77:Y77" si="68">C80</f>
        <v>3.8000000000000002E-4</v>
      </c>
      <c r="Q77" s="19">
        <f t="shared" si="68"/>
        <v>9.0000000000000006E-5</v>
      </c>
      <c r="R77" s="19">
        <f t="shared" si="68"/>
        <v>3.8000000000000002E-4</v>
      </c>
      <c r="S77" s="19">
        <f t="shared" si="68"/>
        <v>0</v>
      </c>
      <c r="T77" s="19">
        <f t="shared" si="68"/>
        <v>0</v>
      </c>
      <c r="U77" s="19">
        <f t="shared" si="68"/>
        <v>0</v>
      </c>
      <c r="V77" s="19">
        <f t="shared" si="68"/>
        <v>0</v>
      </c>
      <c r="W77" s="19">
        <f t="shared" si="68"/>
        <v>0</v>
      </c>
      <c r="X77" s="19">
        <f t="shared" si="68"/>
        <v>0</v>
      </c>
      <c r="Y77" s="19">
        <f t="shared" si="68"/>
        <v>0</v>
      </c>
    </row>
    <row r="78" spans="1:25" x14ac:dyDescent="0.25">
      <c r="A78" t="str">
        <f>A61</f>
        <v>t_IG</v>
      </c>
      <c r="B78" s="1">
        <f t="shared" ref="B78:L78" si="69">B61</f>
        <v>3.6399999999999997E-5</v>
      </c>
      <c r="C78" s="1">
        <f t="shared" si="69"/>
        <v>7.8700000000000002E-5</v>
      </c>
      <c r="D78" s="1">
        <f t="shared" si="69"/>
        <v>3.6399999999999997E-5</v>
      </c>
      <c r="E78" s="1">
        <f t="shared" si="69"/>
        <v>7.8700000000000002E-5</v>
      </c>
      <c r="F78" s="1">
        <f t="shared" si="69"/>
        <v>3.6399999999999997E-5</v>
      </c>
      <c r="G78" s="1">
        <f t="shared" si="69"/>
        <v>3.6399999999999997E-5</v>
      </c>
      <c r="H78" s="1">
        <f t="shared" si="69"/>
        <v>3.6399999999999997E-5</v>
      </c>
      <c r="I78" s="1">
        <f t="shared" si="69"/>
        <v>3.6399999999999997E-5</v>
      </c>
      <c r="J78" s="1">
        <f t="shared" si="69"/>
        <v>3.6399999999999997E-5</v>
      </c>
      <c r="K78" s="1">
        <f t="shared" si="69"/>
        <v>3.6399999999999997E-5</v>
      </c>
      <c r="L78" s="1">
        <f t="shared" si="69"/>
        <v>7.8700000000000002E-5</v>
      </c>
      <c r="N78" s="15" t="str">
        <f>A77</f>
        <v>t_FT</v>
      </c>
      <c r="O78" s="19">
        <f>B77</f>
        <v>5.6799999999999998E-5</v>
      </c>
      <c r="P78" s="19">
        <f t="shared" ref="P78:Y80" si="70">C77</f>
        <v>1.84E-4</v>
      </c>
      <c r="Q78" s="19">
        <f t="shared" si="70"/>
        <v>5.6799999999999998E-5</v>
      </c>
      <c r="R78" s="19">
        <f t="shared" si="70"/>
        <v>1.84E-4</v>
      </c>
      <c r="S78" s="19">
        <f t="shared" si="70"/>
        <v>5.6799999999999998E-5</v>
      </c>
      <c r="T78" s="19">
        <f t="shared" si="70"/>
        <v>5.6799999999999998E-5</v>
      </c>
      <c r="U78" s="19">
        <f t="shared" si="70"/>
        <v>5.6799999999999998E-5</v>
      </c>
      <c r="V78" s="19">
        <f t="shared" si="70"/>
        <v>5.6799999999999998E-5</v>
      </c>
      <c r="W78" s="19">
        <f t="shared" si="70"/>
        <v>5.6799999999999998E-5</v>
      </c>
      <c r="X78" s="19">
        <f t="shared" si="70"/>
        <v>5.6799999999999998E-5</v>
      </c>
      <c r="Y78" s="19">
        <f t="shared" si="70"/>
        <v>1.84E-4</v>
      </c>
    </row>
    <row r="79" spans="1:25" x14ac:dyDescent="0.25">
      <c r="A79" t="str">
        <f t="shared" ref="A79:L79" si="71">A62</f>
        <v>t_G</v>
      </c>
      <c r="B79" s="1">
        <f t="shared" si="71"/>
        <v>2.8500000000000002E-5</v>
      </c>
      <c r="C79" s="1">
        <f t="shared" si="71"/>
        <v>5.8400000000000003E-5</v>
      </c>
      <c r="D79" s="1">
        <f t="shared" si="71"/>
        <v>2.8500000000000002E-5</v>
      </c>
      <c r="E79" s="1">
        <f t="shared" si="71"/>
        <v>5.8400000000000003E-5</v>
      </c>
      <c r="F79" s="1">
        <f t="shared" si="71"/>
        <v>2.8500000000000002E-5</v>
      </c>
      <c r="G79" s="1">
        <f t="shared" si="71"/>
        <v>2.8500000000000002E-5</v>
      </c>
      <c r="H79" s="1">
        <f t="shared" si="71"/>
        <v>2.8500000000000002E-5</v>
      </c>
      <c r="I79" s="1">
        <f t="shared" si="71"/>
        <v>2.8500000000000002E-5</v>
      </c>
      <c r="J79" s="1">
        <f t="shared" si="71"/>
        <v>2.8500000000000002E-5</v>
      </c>
      <c r="K79" s="1">
        <f t="shared" si="71"/>
        <v>2.8500000000000002E-5</v>
      </c>
      <c r="L79" s="1">
        <f t="shared" si="71"/>
        <v>5.8400000000000003E-5</v>
      </c>
      <c r="N79" s="15" t="str">
        <f>A78</f>
        <v>t_IG</v>
      </c>
      <c r="O79" s="19">
        <f>B78</f>
        <v>3.6399999999999997E-5</v>
      </c>
      <c r="P79" s="19">
        <f t="shared" si="70"/>
        <v>7.8700000000000002E-5</v>
      </c>
      <c r="Q79" s="19">
        <f t="shared" si="70"/>
        <v>3.6399999999999997E-5</v>
      </c>
      <c r="R79" s="19">
        <f t="shared" si="70"/>
        <v>7.8700000000000002E-5</v>
      </c>
      <c r="S79" s="19">
        <f t="shared" si="70"/>
        <v>3.6399999999999997E-5</v>
      </c>
      <c r="T79" s="19">
        <f t="shared" si="70"/>
        <v>3.6399999999999997E-5</v>
      </c>
      <c r="U79" s="19">
        <f t="shared" si="70"/>
        <v>3.6399999999999997E-5</v>
      </c>
      <c r="V79" s="19">
        <f t="shared" si="70"/>
        <v>3.6399999999999997E-5</v>
      </c>
      <c r="W79" s="19">
        <f t="shared" si="70"/>
        <v>3.6399999999999997E-5</v>
      </c>
      <c r="X79" s="19">
        <f t="shared" si="70"/>
        <v>3.6399999999999997E-5</v>
      </c>
      <c r="Y79" s="19">
        <f t="shared" si="70"/>
        <v>7.8700000000000002E-5</v>
      </c>
    </row>
    <row r="80" spans="1:25" x14ac:dyDescent="0.25">
      <c r="A80" t="s">
        <v>53</v>
      </c>
      <c r="B80" s="1">
        <v>9.0000000000000006E-5</v>
      </c>
      <c r="C80" s="1">
        <v>3.8000000000000002E-4</v>
      </c>
      <c r="D80" s="1">
        <v>9.0000000000000006E-5</v>
      </c>
      <c r="E80" s="1">
        <v>3.8000000000000002E-4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N80" s="15" t="str">
        <f>A79</f>
        <v>t_G</v>
      </c>
      <c r="O80" s="19">
        <f>B79</f>
        <v>2.8500000000000002E-5</v>
      </c>
      <c r="P80" s="19">
        <f t="shared" si="70"/>
        <v>5.8400000000000003E-5</v>
      </c>
      <c r="Q80" s="19">
        <f t="shared" si="70"/>
        <v>2.8500000000000002E-5</v>
      </c>
      <c r="R80" s="19">
        <f t="shared" si="70"/>
        <v>5.8400000000000003E-5</v>
      </c>
      <c r="S80" s="19">
        <f t="shared" si="70"/>
        <v>2.8500000000000002E-5</v>
      </c>
      <c r="T80" s="19">
        <f t="shared" si="70"/>
        <v>2.8500000000000002E-5</v>
      </c>
      <c r="U80" s="19">
        <f t="shared" si="70"/>
        <v>2.8500000000000002E-5</v>
      </c>
      <c r="V80" s="19">
        <f t="shared" si="70"/>
        <v>2.8500000000000002E-5</v>
      </c>
      <c r="W80" s="19">
        <f t="shared" si="70"/>
        <v>2.8500000000000002E-5</v>
      </c>
      <c r="X80" s="19">
        <f t="shared" si="70"/>
        <v>2.8500000000000002E-5</v>
      </c>
      <c r="Y80" s="19">
        <f t="shared" si="70"/>
        <v>5.8400000000000003E-5</v>
      </c>
    </row>
    <row r="81" spans="1:25" x14ac:dyDescent="0.25">
      <c r="A81" t="s">
        <v>50</v>
      </c>
      <c r="B81" s="2">
        <f>B53</f>
        <v>3</v>
      </c>
      <c r="C81" s="2">
        <f t="shared" ref="C81:L81" si="72">C53</f>
        <v>3</v>
      </c>
      <c r="D81" s="2">
        <f t="shared" si="72"/>
        <v>5</v>
      </c>
      <c r="E81" s="2">
        <f t="shared" si="72"/>
        <v>5</v>
      </c>
      <c r="F81" s="2">
        <f t="shared" si="72"/>
        <v>3</v>
      </c>
      <c r="G81" s="2">
        <f t="shared" si="72"/>
        <v>2</v>
      </c>
      <c r="H81" s="2">
        <f t="shared" si="72"/>
        <v>3</v>
      </c>
      <c r="I81" s="2">
        <f t="shared" si="72"/>
        <v>3</v>
      </c>
      <c r="J81" s="2">
        <f t="shared" si="72"/>
        <v>2</v>
      </c>
      <c r="K81" s="2">
        <f t="shared" si="72"/>
        <v>2</v>
      </c>
      <c r="L81" s="2">
        <f t="shared" si="72"/>
        <v>2</v>
      </c>
      <c r="N81" s="15" t="str">
        <f t="shared" si="64"/>
        <v>number ps</v>
      </c>
      <c r="O81" s="16">
        <f t="shared" si="65"/>
        <v>3</v>
      </c>
      <c r="P81" s="16">
        <f t="shared" ref="P81:P88" si="73">C81</f>
        <v>3</v>
      </c>
      <c r="Q81" s="16">
        <f t="shared" ref="Q81:Q88" si="74">D81</f>
        <v>5</v>
      </c>
      <c r="R81" s="16">
        <f t="shared" ref="R81:R88" si="75">E81</f>
        <v>5</v>
      </c>
      <c r="S81" s="16">
        <f t="shared" ref="S81:S88" si="76">F81</f>
        <v>3</v>
      </c>
      <c r="T81" s="16">
        <f t="shared" ref="T81:T88" si="77">G81</f>
        <v>2</v>
      </c>
      <c r="U81" s="16">
        <f t="shared" ref="U81:U88" si="78">H81</f>
        <v>3</v>
      </c>
      <c r="V81" s="16">
        <f t="shared" ref="V81:V88" si="79">I81</f>
        <v>3</v>
      </c>
      <c r="W81" s="16">
        <f t="shared" ref="W81:W88" si="80">J81</f>
        <v>2</v>
      </c>
      <c r="X81" s="16">
        <f t="shared" ref="X81:X88" si="81">K81</f>
        <v>2</v>
      </c>
      <c r="Y81" s="16">
        <f t="shared" ref="Y81:Y88" si="82">L81</f>
        <v>2</v>
      </c>
    </row>
    <row r="82" spans="1:25" x14ac:dyDescent="0.25">
      <c r="A82" t="s">
        <v>51</v>
      </c>
      <c r="B82" s="2">
        <f>B54</f>
        <v>5</v>
      </c>
      <c r="C82" s="2">
        <f t="shared" ref="C82:L82" si="83">C54</f>
        <v>5</v>
      </c>
      <c r="D82" s="2">
        <f t="shared" si="83"/>
        <v>9</v>
      </c>
      <c r="E82" s="2">
        <f t="shared" si="83"/>
        <v>9</v>
      </c>
      <c r="F82" s="2">
        <f t="shared" si="83"/>
        <v>5</v>
      </c>
      <c r="G82" s="2">
        <f t="shared" si="83"/>
        <v>3</v>
      </c>
      <c r="H82" s="2">
        <f t="shared" si="83"/>
        <v>5</v>
      </c>
      <c r="I82" s="2">
        <f t="shared" si="83"/>
        <v>5</v>
      </c>
      <c r="J82" s="2">
        <f t="shared" si="83"/>
        <v>3</v>
      </c>
      <c r="K82" s="2">
        <f t="shared" si="83"/>
        <v>3</v>
      </c>
      <c r="L82" s="2">
        <f t="shared" si="83"/>
        <v>3</v>
      </c>
      <c r="N82" s="15" t="str">
        <f t="shared" si="64"/>
        <v>number prop</v>
      </c>
      <c r="O82" s="16">
        <f>B82*B14</f>
        <v>45</v>
      </c>
      <c r="P82" s="16">
        <f t="shared" ref="P82:Y82" si="84">C82*C14</f>
        <v>45</v>
      </c>
      <c r="Q82" s="16">
        <f t="shared" si="84"/>
        <v>171</v>
      </c>
      <c r="R82" s="16">
        <f t="shared" si="84"/>
        <v>171</v>
      </c>
      <c r="S82" s="16">
        <f t="shared" si="84"/>
        <v>40</v>
      </c>
      <c r="T82" s="16">
        <f t="shared" si="84"/>
        <v>33</v>
      </c>
      <c r="U82" s="16">
        <f t="shared" si="84"/>
        <v>55</v>
      </c>
      <c r="V82" s="16">
        <f t="shared" si="84"/>
        <v>45</v>
      </c>
      <c r="W82" s="16">
        <f t="shared" si="84"/>
        <v>27</v>
      </c>
      <c r="X82" s="16">
        <f t="shared" si="84"/>
        <v>3</v>
      </c>
      <c r="Y82" s="16">
        <f t="shared" si="84"/>
        <v>3</v>
      </c>
    </row>
    <row r="83" spans="1:25" x14ac:dyDescent="0.25">
      <c r="A83" t="s">
        <v>52</v>
      </c>
      <c r="B83" s="11">
        <f>INT(B48*B50*(B52+1))</f>
        <v>47064058</v>
      </c>
      <c r="C83" s="11">
        <f t="shared" ref="C83:I83" si="85">INT(C48*C50*(C52+1))</f>
        <v>47064058</v>
      </c>
      <c r="D83" s="11">
        <f t="shared" si="85"/>
        <v>148035196</v>
      </c>
      <c r="E83" s="11">
        <f t="shared" si="85"/>
        <v>148035196</v>
      </c>
      <c r="F83" s="11">
        <f t="shared" si="85"/>
        <v>3215</v>
      </c>
      <c r="G83" s="11">
        <f t="shared" si="85"/>
        <v>1105</v>
      </c>
      <c r="H83" s="11">
        <f t="shared" si="85"/>
        <v>24889</v>
      </c>
      <c r="I83" s="11">
        <f t="shared" si="85"/>
        <v>69237</v>
      </c>
      <c r="J83" s="11">
        <f t="shared" ref="J83:L83" si="86">INT(J48*J50*J52)</f>
        <v>25434</v>
      </c>
      <c r="K83" s="11">
        <f t="shared" si="86"/>
        <v>78</v>
      </c>
      <c r="L83" s="11">
        <f t="shared" si="86"/>
        <v>78</v>
      </c>
      <c r="N83" s="15" t="s">
        <v>62</v>
      </c>
      <c r="O83" s="16">
        <f>INT(B48*B50)</f>
        <v>13069</v>
      </c>
      <c r="P83" s="16">
        <f t="shared" ref="P83:Y83" si="87">INT(C48*C50)</f>
        <v>13069</v>
      </c>
      <c r="Q83" s="16">
        <f t="shared" si="87"/>
        <v>41109</v>
      </c>
      <c r="R83" s="16">
        <f t="shared" si="87"/>
        <v>41109</v>
      </c>
      <c r="S83" s="16">
        <f t="shared" si="87"/>
        <v>1607</v>
      </c>
      <c r="T83" s="16">
        <f t="shared" si="87"/>
        <v>552</v>
      </c>
      <c r="U83" s="16">
        <f t="shared" si="87"/>
        <v>12444</v>
      </c>
      <c r="V83" s="16">
        <f t="shared" si="87"/>
        <v>34618</v>
      </c>
      <c r="W83" s="16">
        <f t="shared" si="87"/>
        <v>25434</v>
      </c>
      <c r="X83" s="16">
        <f t="shared" si="87"/>
        <v>78</v>
      </c>
      <c r="Y83" s="16">
        <f t="shared" si="87"/>
        <v>78</v>
      </c>
    </row>
    <row r="84" spans="1:25" x14ac:dyDescent="0.25">
      <c r="A84" t="str">
        <f>A64</f>
        <v>T_ps</v>
      </c>
      <c r="B84" s="1">
        <f t="shared" ref="B84:L84" si="88">B64</f>
        <v>4.59</v>
      </c>
      <c r="C84" s="1">
        <f t="shared" si="88"/>
        <v>60</v>
      </c>
      <c r="D84" s="1">
        <f t="shared" si="88"/>
        <v>19.2</v>
      </c>
      <c r="E84" s="1">
        <f t="shared" si="88"/>
        <v>251</v>
      </c>
      <c r="F84" s="1">
        <f t="shared" si="88"/>
        <v>0.59400000000000008</v>
      </c>
      <c r="G84" s="1">
        <f t="shared" si="88"/>
        <v>0.105</v>
      </c>
      <c r="H84" s="1">
        <f t="shared" si="88"/>
        <v>4.0200000000000005</v>
      </c>
      <c r="I84" s="1">
        <f t="shared" si="88"/>
        <v>6.24</v>
      </c>
      <c r="J84" s="1">
        <f t="shared" si="88"/>
        <v>2.6</v>
      </c>
      <c r="K84" s="1">
        <f t="shared" si="88"/>
        <v>0.13880000000000001</v>
      </c>
      <c r="L84" s="1">
        <f t="shared" si="88"/>
        <v>1.8140000000000001</v>
      </c>
      <c r="N84" s="15" t="str">
        <f t="shared" si="64"/>
        <v>T_ps</v>
      </c>
      <c r="O84" s="20">
        <f>O81*O75</f>
        <v>4.59</v>
      </c>
      <c r="P84" s="20">
        <f t="shared" ref="P84:Y84" si="89">P81*P75</f>
        <v>60</v>
      </c>
      <c r="Q84" s="20">
        <f t="shared" si="89"/>
        <v>19.2</v>
      </c>
      <c r="R84" s="20">
        <f t="shared" si="89"/>
        <v>251</v>
      </c>
      <c r="S84" s="20">
        <f t="shared" si="89"/>
        <v>0.59400000000000008</v>
      </c>
      <c r="T84" s="20">
        <f t="shared" si="89"/>
        <v>0.105</v>
      </c>
      <c r="U84" s="20">
        <f t="shared" si="89"/>
        <v>4.0200000000000005</v>
      </c>
      <c r="V84" s="20">
        <f t="shared" si="89"/>
        <v>6.24</v>
      </c>
      <c r="W84" s="20">
        <f t="shared" si="89"/>
        <v>2.6</v>
      </c>
      <c r="X84" s="20">
        <f t="shared" si="89"/>
        <v>0.13880000000000001</v>
      </c>
      <c r="Y84" s="20">
        <f t="shared" si="89"/>
        <v>1.8140000000000001</v>
      </c>
    </row>
    <row r="85" spans="1:25" x14ac:dyDescent="0.25">
      <c r="A85" t="str">
        <f t="shared" ref="A85:L85" si="90">A65</f>
        <v>T_prop</v>
      </c>
      <c r="B85" s="1">
        <f t="shared" si="90"/>
        <v>25.785</v>
      </c>
      <c r="C85" s="1">
        <f t="shared" si="90"/>
        <v>1134</v>
      </c>
      <c r="D85" s="1">
        <f t="shared" si="90"/>
        <v>198.35999999999999</v>
      </c>
      <c r="E85" s="1">
        <f t="shared" si="90"/>
        <v>12072.599999999999</v>
      </c>
      <c r="F85" s="1">
        <f t="shared" si="90"/>
        <v>1.8399999999999999</v>
      </c>
      <c r="G85" s="1">
        <f t="shared" si="90"/>
        <v>0.31647000000000003</v>
      </c>
      <c r="H85" s="1">
        <f t="shared" si="90"/>
        <v>18.810000000000002</v>
      </c>
      <c r="I85" s="1">
        <f t="shared" si="90"/>
        <v>55.8</v>
      </c>
      <c r="J85" s="1">
        <f t="shared" si="90"/>
        <v>23.597999999999999</v>
      </c>
      <c r="K85" s="1">
        <f t="shared" si="90"/>
        <v>0.13470000000000001</v>
      </c>
      <c r="L85" s="1">
        <f t="shared" si="90"/>
        <v>20.64</v>
      </c>
      <c r="N85" s="15" t="str">
        <f t="shared" si="64"/>
        <v>T_prop</v>
      </c>
      <c r="O85" s="20">
        <f>O82*O76</f>
        <v>25.784999999999997</v>
      </c>
      <c r="P85" s="20">
        <f t="shared" ref="P85:Y85" si="91">P82*P76</f>
        <v>1134</v>
      </c>
      <c r="Q85" s="20">
        <f t="shared" si="91"/>
        <v>198.35999999999999</v>
      </c>
      <c r="R85" s="20">
        <f t="shared" si="91"/>
        <v>12072.599999999999</v>
      </c>
      <c r="S85" s="20">
        <f t="shared" si="91"/>
        <v>1.8399999999999999</v>
      </c>
      <c r="T85" s="20">
        <f t="shared" si="91"/>
        <v>0.31646999999999997</v>
      </c>
      <c r="U85" s="20">
        <f t="shared" si="91"/>
        <v>18.810000000000002</v>
      </c>
      <c r="V85" s="20">
        <f t="shared" si="91"/>
        <v>55.8</v>
      </c>
      <c r="W85" s="20">
        <f t="shared" si="91"/>
        <v>23.597999999999999</v>
      </c>
      <c r="X85" s="20">
        <f t="shared" si="91"/>
        <v>0.13470000000000001</v>
      </c>
      <c r="Y85" s="20">
        <f t="shared" si="91"/>
        <v>20.64</v>
      </c>
    </row>
    <row r="86" spans="1:25" x14ac:dyDescent="0.25">
      <c r="A86" t="str">
        <f t="shared" ref="A86:L86" si="92">A66</f>
        <v>T_FT</v>
      </c>
      <c r="B86" s="1">
        <f t="shared" si="92"/>
        <v>2672.4961498439125</v>
      </c>
      <c r="C86" s="1">
        <f t="shared" si="92"/>
        <v>8657.3818938605618</v>
      </c>
      <c r="D86" s="1">
        <f t="shared" si="92"/>
        <v>8406.0641699999996</v>
      </c>
      <c r="E86" s="1">
        <f t="shared" si="92"/>
        <v>27230.912100000001</v>
      </c>
      <c r="F86" s="1">
        <f t="shared" si="92"/>
        <v>9.1316224000000001E-2</v>
      </c>
      <c r="G86" s="1">
        <f t="shared" si="92"/>
        <v>3.1389951999999999E-2</v>
      </c>
      <c r="H86" s="1">
        <f t="shared" si="92"/>
        <v>0.7068558882030177</v>
      </c>
      <c r="I86" s="1">
        <f t="shared" si="92"/>
        <v>1.9663307999999999</v>
      </c>
      <c r="J86" s="1">
        <f t="shared" si="92"/>
        <v>1.4446511999999998</v>
      </c>
      <c r="K86" s="1">
        <f t="shared" si="92"/>
        <v>4.4587999999999997E-3</v>
      </c>
      <c r="L86" s="1">
        <f t="shared" si="92"/>
        <v>1.4444E-2</v>
      </c>
      <c r="N86" s="15" t="str">
        <f>A89</f>
        <v>T_correlate</v>
      </c>
      <c r="O86" s="20">
        <f>O77*O83</f>
        <v>1.17621</v>
      </c>
      <c r="P86" s="20">
        <f t="shared" ref="P86:Y86" si="93">P77*P83</f>
        <v>4.9662199999999999</v>
      </c>
      <c r="Q86" s="20">
        <f t="shared" si="93"/>
        <v>3.6998100000000003</v>
      </c>
      <c r="R86" s="20">
        <f t="shared" si="93"/>
        <v>15.621420000000001</v>
      </c>
      <c r="S86" s="20">
        <f t="shared" si="93"/>
        <v>0</v>
      </c>
      <c r="T86" s="20">
        <f t="shared" si="93"/>
        <v>0</v>
      </c>
      <c r="U86" s="20">
        <f t="shared" si="93"/>
        <v>0</v>
      </c>
      <c r="V86" s="20">
        <f t="shared" si="93"/>
        <v>0</v>
      </c>
      <c r="W86" s="20">
        <f t="shared" si="93"/>
        <v>0</v>
      </c>
      <c r="X86" s="20">
        <f t="shared" si="93"/>
        <v>0</v>
      </c>
      <c r="Y86" s="20">
        <f t="shared" si="93"/>
        <v>0</v>
      </c>
    </row>
    <row r="87" spans="1:25" x14ac:dyDescent="0.25">
      <c r="A87" t="str">
        <f t="shared" ref="A87:L87" si="94">A67</f>
        <v>T_IG</v>
      </c>
      <c r="B87" s="1">
        <f t="shared" si="94"/>
        <v>1712.6559833506763</v>
      </c>
      <c r="C87" s="1">
        <f t="shared" si="94"/>
        <v>3702.9127991675341</v>
      </c>
      <c r="D87" s="1">
        <f t="shared" si="94"/>
        <v>5386.9847849999987</v>
      </c>
      <c r="E87" s="1">
        <f t="shared" si="94"/>
        <v>11647.134686250001</v>
      </c>
      <c r="F87" s="1">
        <f t="shared" si="94"/>
        <v>5.8519551999999996E-2</v>
      </c>
      <c r="G87" s="1">
        <f t="shared" si="94"/>
        <v>2.0116096E-2</v>
      </c>
      <c r="H87" s="1">
        <f t="shared" si="94"/>
        <v>0.45298511145404646</v>
      </c>
      <c r="I87" s="1">
        <f t="shared" si="94"/>
        <v>1.2601133999999998</v>
      </c>
      <c r="J87" s="1">
        <f t="shared" si="94"/>
        <v>0.9257976</v>
      </c>
      <c r="K87" s="1">
        <f t="shared" si="94"/>
        <v>2.8574E-3</v>
      </c>
      <c r="L87" s="1">
        <f t="shared" si="94"/>
        <v>6.1779499999999998E-3</v>
      </c>
      <c r="N87" s="15" t="str">
        <f>A86</f>
        <v>T_FT</v>
      </c>
      <c r="O87" s="20">
        <f>O78*O83</f>
        <v>0.74231919999999996</v>
      </c>
      <c r="P87" s="20">
        <f t="shared" ref="P87:Y87" si="95">P78*P83</f>
        <v>2.4046959999999999</v>
      </c>
      <c r="Q87" s="20">
        <f t="shared" si="95"/>
        <v>2.3349911999999997</v>
      </c>
      <c r="R87" s="20">
        <f t="shared" si="95"/>
        <v>7.5640559999999999</v>
      </c>
      <c r="S87" s="20">
        <f t="shared" si="95"/>
        <v>9.12776E-2</v>
      </c>
      <c r="T87" s="20">
        <f t="shared" si="95"/>
        <v>3.1353600000000002E-2</v>
      </c>
      <c r="U87" s="20">
        <f t="shared" si="95"/>
        <v>0.70681919999999998</v>
      </c>
      <c r="V87" s="20">
        <f t="shared" si="95"/>
        <v>1.9663024</v>
      </c>
      <c r="W87" s="20">
        <f t="shared" si="95"/>
        <v>1.4446512</v>
      </c>
      <c r="X87" s="20">
        <f t="shared" si="95"/>
        <v>4.4304000000000001E-3</v>
      </c>
      <c r="Y87" s="20">
        <f t="shared" si="95"/>
        <v>1.4352E-2</v>
      </c>
    </row>
    <row r="88" spans="1:25" x14ac:dyDescent="0.25">
      <c r="A88" t="str">
        <f t="shared" ref="A88:L88" si="96">A68</f>
        <v>T_G</v>
      </c>
      <c r="B88" s="1">
        <f t="shared" si="96"/>
        <v>1340.9531737773152</v>
      </c>
      <c r="C88" s="1">
        <f t="shared" si="96"/>
        <v>2747.7777315296566</v>
      </c>
      <c r="D88" s="1">
        <f t="shared" si="96"/>
        <v>4217.8314937499999</v>
      </c>
      <c r="E88" s="1">
        <f t="shared" si="96"/>
        <v>8642.8547099999996</v>
      </c>
      <c r="F88" s="1">
        <f t="shared" si="96"/>
        <v>4.5818880000000006E-2</v>
      </c>
      <c r="G88" s="1">
        <f t="shared" si="96"/>
        <v>1.5750240000000002E-2</v>
      </c>
      <c r="H88" s="1">
        <f t="shared" si="96"/>
        <v>0.3546724086934156</v>
      </c>
      <c r="I88" s="1">
        <f t="shared" si="96"/>
        <v>0.98662725000000007</v>
      </c>
      <c r="J88" s="1">
        <f t="shared" si="96"/>
        <v>0.72486899999999999</v>
      </c>
      <c r="K88" s="1">
        <f t="shared" si="96"/>
        <v>2.2372500000000001E-3</v>
      </c>
      <c r="L88" s="1">
        <f t="shared" si="96"/>
        <v>4.5844000000000006E-3</v>
      </c>
      <c r="N88" s="15" t="str">
        <f>A87</f>
        <v>T_IG</v>
      </c>
      <c r="O88" s="20">
        <f>O79*O83</f>
        <v>0.47571159999999996</v>
      </c>
      <c r="P88" s="20">
        <f t="shared" ref="P88:Y88" si="97">P79*P83</f>
        <v>1.0285303000000001</v>
      </c>
      <c r="Q88" s="20">
        <f t="shared" si="97"/>
        <v>1.4963675999999999</v>
      </c>
      <c r="R88" s="20">
        <f t="shared" si="97"/>
        <v>3.2352783000000001</v>
      </c>
      <c r="S88" s="20">
        <f t="shared" si="97"/>
        <v>5.8494799999999993E-2</v>
      </c>
      <c r="T88" s="20">
        <f t="shared" si="97"/>
        <v>2.0092799999999997E-2</v>
      </c>
      <c r="U88" s="20">
        <f t="shared" si="97"/>
        <v>0.45296159999999996</v>
      </c>
      <c r="V88" s="20">
        <f t="shared" si="97"/>
        <v>1.2600951999999999</v>
      </c>
      <c r="W88" s="20">
        <f t="shared" si="97"/>
        <v>0.92579759999999989</v>
      </c>
      <c r="X88" s="20">
        <f t="shared" si="97"/>
        <v>2.8391999999999996E-3</v>
      </c>
      <c r="Y88" s="20">
        <f t="shared" si="97"/>
        <v>6.1386000000000001E-3</v>
      </c>
    </row>
    <row r="89" spans="1:25" x14ac:dyDescent="0.25">
      <c r="A89" t="s">
        <v>54</v>
      </c>
      <c r="B89" s="1">
        <f>B80*B50*B48</f>
        <v>1.1762747138397502</v>
      </c>
      <c r="C89" s="1">
        <f t="shared" ref="C89:L89" si="98">C80*C50*C48</f>
        <v>4.9664932362122789</v>
      </c>
      <c r="D89" s="1">
        <f t="shared" si="98"/>
        <v>3.6998521875000003</v>
      </c>
      <c r="E89" s="1">
        <f t="shared" si="98"/>
        <v>15.621598125</v>
      </c>
      <c r="F89" s="1">
        <f t="shared" si="98"/>
        <v>0</v>
      </c>
      <c r="G89" s="1">
        <f t="shared" si="98"/>
        <v>0</v>
      </c>
      <c r="H89" s="1">
        <f t="shared" si="98"/>
        <v>0</v>
      </c>
      <c r="I89" s="1">
        <f t="shared" si="98"/>
        <v>0</v>
      </c>
      <c r="J89" s="1">
        <f t="shared" si="98"/>
        <v>0</v>
      </c>
      <c r="K89" s="1">
        <f t="shared" si="98"/>
        <v>0</v>
      </c>
      <c r="L89" s="1">
        <f t="shared" si="98"/>
        <v>0</v>
      </c>
      <c r="N89" s="15" t="str">
        <f>A88</f>
        <v>T_G</v>
      </c>
      <c r="O89" s="20">
        <f>O80*O83</f>
        <v>0.37246650000000003</v>
      </c>
      <c r="P89" s="20">
        <f t="shared" ref="P89:Y89" si="99">P80*P83</f>
        <v>0.76322960000000006</v>
      </c>
      <c r="Q89" s="20">
        <f t="shared" si="99"/>
        <v>1.1716065</v>
      </c>
      <c r="R89" s="20">
        <f t="shared" si="99"/>
        <v>2.4007656000000002</v>
      </c>
      <c r="S89" s="20">
        <f t="shared" si="99"/>
        <v>4.57995E-2</v>
      </c>
      <c r="T89" s="20">
        <f t="shared" si="99"/>
        <v>1.5731999999999999E-2</v>
      </c>
      <c r="U89" s="20">
        <f t="shared" si="99"/>
        <v>0.35465400000000002</v>
      </c>
      <c r="V89" s="20">
        <f t="shared" si="99"/>
        <v>0.98661300000000007</v>
      </c>
      <c r="W89" s="20">
        <f t="shared" si="99"/>
        <v>0.72486899999999999</v>
      </c>
      <c r="X89" s="20">
        <f t="shared" si="99"/>
        <v>2.2230000000000001E-3</v>
      </c>
      <c r="Y89" s="20">
        <f t="shared" si="99"/>
        <v>4.5552000000000006E-3</v>
      </c>
    </row>
    <row r="90" spans="1:25" x14ac:dyDescent="0.25">
      <c r="A90" t="str">
        <f>A69</f>
        <v>benefit-IG (s)</v>
      </c>
      <c r="B90" s="1">
        <f t="shared" ref="B90:L90" si="100">B69</f>
        <v>959.84016649323621</v>
      </c>
      <c r="C90" s="1">
        <f t="shared" si="100"/>
        <v>4954.4690946930277</v>
      </c>
      <c r="D90" s="1">
        <f t="shared" si="100"/>
        <v>3019.0793850000009</v>
      </c>
      <c r="E90" s="1">
        <f t="shared" si="100"/>
        <v>15583.77741375</v>
      </c>
      <c r="F90" s="1">
        <f t="shared" si="100"/>
        <v>3.2796672000000006E-2</v>
      </c>
      <c r="G90" s="1">
        <f t="shared" si="100"/>
        <v>1.1273855999999999E-2</v>
      </c>
      <c r="H90" s="1">
        <f t="shared" si="100"/>
        <v>0.25387077674897124</v>
      </c>
      <c r="I90" s="1">
        <f t="shared" si="100"/>
        <v>0.70621740000000011</v>
      </c>
      <c r="J90" s="1">
        <f t="shared" si="100"/>
        <v>0.5188535999999998</v>
      </c>
      <c r="K90" s="1">
        <f t="shared" si="100"/>
        <v>1.6013999999999998E-3</v>
      </c>
      <c r="L90" s="1">
        <f t="shared" si="100"/>
        <v>8.2660500000000005E-3</v>
      </c>
      <c r="N90" s="15" t="str">
        <f t="shared" si="64"/>
        <v>benefit-IG (s)</v>
      </c>
      <c r="O90" s="20">
        <f>O87-O88</f>
        <v>0.2666076</v>
      </c>
      <c r="P90" s="20">
        <f t="shared" ref="P90:Y90" si="101">P87-P88</f>
        <v>1.3761656999999998</v>
      </c>
      <c r="Q90" s="20">
        <f t="shared" si="101"/>
        <v>0.8386235999999998</v>
      </c>
      <c r="R90" s="20">
        <f t="shared" si="101"/>
        <v>4.3287776999999998</v>
      </c>
      <c r="S90" s="20">
        <f t="shared" si="101"/>
        <v>3.2782800000000008E-2</v>
      </c>
      <c r="T90" s="20">
        <f t="shared" si="101"/>
        <v>1.1260800000000005E-2</v>
      </c>
      <c r="U90" s="20">
        <f t="shared" si="101"/>
        <v>0.25385760000000002</v>
      </c>
      <c r="V90" s="20">
        <f t="shared" si="101"/>
        <v>0.70620720000000015</v>
      </c>
      <c r="W90" s="20">
        <f t="shared" si="101"/>
        <v>0.51885360000000014</v>
      </c>
      <c r="X90" s="20">
        <f t="shared" si="101"/>
        <v>1.5912000000000005E-3</v>
      </c>
      <c r="Y90" s="20">
        <f t="shared" si="101"/>
        <v>8.2133999999999992E-3</v>
      </c>
    </row>
    <row r="91" spans="1:25" x14ac:dyDescent="0.25">
      <c r="A91" t="str">
        <f>A71</f>
        <v>benefit-G (s)</v>
      </c>
      <c r="B91" s="1">
        <f t="shared" ref="B91:L91" si="102">B71</f>
        <v>1331.5429760665972</v>
      </c>
      <c r="C91" s="1">
        <f t="shared" si="102"/>
        <v>5909.6041623309047</v>
      </c>
      <c r="D91" s="1">
        <f t="shared" si="102"/>
        <v>4188.2326762499997</v>
      </c>
      <c r="E91" s="1">
        <f t="shared" si="102"/>
        <v>18588.057390000002</v>
      </c>
      <c r="F91" s="1">
        <f t="shared" si="102"/>
        <v>4.5497343999999995E-2</v>
      </c>
      <c r="G91" s="1">
        <f t="shared" si="102"/>
        <v>1.5639711999999997E-2</v>
      </c>
      <c r="H91" s="1">
        <f t="shared" si="102"/>
        <v>0.3521834795096021</v>
      </c>
      <c r="I91" s="1">
        <f t="shared" si="102"/>
        <v>0.97970354999999987</v>
      </c>
      <c r="J91" s="1">
        <f t="shared" si="102"/>
        <v>0.71978219999999982</v>
      </c>
      <c r="K91" s="1">
        <f t="shared" si="102"/>
        <v>2.2215499999999997E-3</v>
      </c>
      <c r="L91" s="1">
        <f t="shared" si="102"/>
        <v>9.8595999999999996E-3</v>
      </c>
      <c r="N91" s="15" t="str">
        <f t="shared" si="64"/>
        <v>benefit-G (s)</v>
      </c>
      <c r="O91" s="20">
        <f>O87-O89</f>
        <v>0.36985269999999992</v>
      </c>
      <c r="P91" s="20">
        <f t="shared" ref="P91:Y91" si="103">P87-P89</f>
        <v>1.6414663999999999</v>
      </c>
      <c r="Q91" s="20">
        <f t="shared" si="103"/>
        <v>1.1633846999999997</v>
      </c>
      <c r="R91" s="20">
        <f t="shared" si="103"/>
        <v>5.1632903999999993</v>
      </c>
      <c r="S91" s="20">
        <f t="shared" si="103"/>
        <v>4.54781E-2</v>
      </c>
      <c r="T91" s="20">
        <f t="shared" si="103"/>
        <v>1.5621600000000003E-2</v>
      </c>
      <c r="U91" s="20">
        <f t="shared" si="103"/>
        <v>0.35216519999999996</v>
      </c>
      <c r="V91" s="20">
        <f t="shared" si="103"/>
        <v>0.97968939999999993</v>
      </c>
      <c r="W91" s="20">
        <f t="shared" si="103"/>
        <v>0.71978220000000004</v>
      </c>
      <c r="X91" s="20">
        <f t="shared" si="103"/>
        <v>2.2074E-3</v>
      </c>
      <c r="Y91" s="20">
        <f t="shared" si="103"/>
        <v>9.7967999999999996E-3</v>
      </c>
    </row>
    <row r="92" spans="1:25" x14ac:dyDescent="0.25">
      <c r="A92" t="s">
        <v>59</v>
      </c>
      <c r="B92" s="1">
        <f>B84+B85+B86+B89</f>
        <v>2704.047424557752</v>
      </c>
      <c r="C92" s="1">
        <f t="shared" ref="C92:L92" si="104">C84+C85+C86+C89</f>
        <v>9856.3483870967739</v>
      </c>
      <c r="D92" s="1">
        <f t="shared" si="104"/>
        <v>8627.3240221874985</v>
      </c>
      <c r="E92" s="1">
        <f t="shared" si="104"/>
        <v>39570.133698124999</v>
      </c>
      <c r="F92" s="1">
        <f t="shared" si="104"/>
        <v>2.525316224</v>
      </c>
      <c r="G92" s="1">
        <f t="shared" si="104"/>
        <v>0.45285995200000001</v>
      </c>
      <c r="H92" s="1">
        <f t="shared" si="104"/>
        <v>23.536855888203018</v>
      </c>
      <c r="I92" s="1">
        <f t="shared" si="104"/>
        <v>64.006330800000001</v>
      </c>
      <c r="J92" s="1">
        <f t="shared" si="104"/>
        <v>27.6426512</v>
      </c>
      <c r="K92" s="1">
        <f t="shared" si="104"/>
        <v>0.27795880000000001</v>
      </c>
      <c r="L92" s="1">
        <f t="shared" si="104"/>
        <v>22.468444000000002</v>
      </c>
      <c r="N92" s="15" t="s">
        <v>63</v>
      </c>
      <c r="O92" s="20">
        <f>O84+O85+O87</f>
        <v>31.117319199999997</v>
      </c>
      <c r="P92" s="20">
        <f t="shared" ref="P92:Y92" si="105">P84+P85+P87</f>
        <v>1196.4046960000001</v>
      </c>
      <c r="Q92" s="20">
        <f t="shared" si="105"/>
        <v>219.89499119999996</v>
      </c>
      <c r="R92" s="20">
        <f t="shared" si="105"/>
        <v>12331.164055999998</v>
      </c>
      <c r="S92" s="20">
        <f t="shared" si="105"/>
        <v>2.5252776000000003</v>
      </c>
      <c r="T92" s="20">
        <f t="shared" si="105"/>
        <v>0.45282359999999994</v>
      </c>
      <c r="U92" s="20">
        <f t="shared" si="105"/>
        <v>23.536819200000004</v>
      </c>
      <c r="V92" s="20">
        <f t="shared" si="105"/>
        <v>64.006302399999996</v>
      </c>
      <c r="W92" s="20">
        <f t="shared" si="105"/>
        <v>27.6426512</v>
      </c>
      <c r="X92" s="20">
        <f t="shared" si="105"/>
        <v>0.27793040000000002</v>
      </c>
      <c r="Y92" s="20">
        <f t="shared" si="105"/>
        <v>22.468351999999999</v>
      </c>
    </row>
    <row r="93" spans="1:25" x14ac:dyDescent="0.25">
      <c r="A93" t="s">
        <v>60</v>
      </c>
      <c r="B93" s="1">
        <f>B90/B92*100</f>
        <v>35.496425017405841</v>
      </c>
      <c r="C93" s="1">
        <f t="shared" ref="C93:I93" si="106">C90/C92*100</f>
        <v>50.266781368839034</v>
      </c>
      <c r="D93" s="1">
        <f t="shared" si="106"/>
        <v>34.994389653566053</v>
      </c>
      <c r="E93" s="1">
        <f t="shared" si="106"/>
        <v>39.38267566300496</v>
      </c>
      <c r="F93" s="1">
        <f t="shared" si="106"/>
        <v>1.2987154514871562</v>
      </c>
      <c r="G93" s="1">
        <f t="shared" si="106"/>
        <v>2.4894795731462689</v>
      </c>
      <c r="H93" s="1">
        <f t="shared" si="106"/>
        <v>1.0786095558167335</v>
      </c>
      <c r="I93" s="1">
        <f t="shared" si="106"/>
        <v>1.1033555449486883</v>
      </c>
      <c r="N93" s="15" t="s">
        <v>60</v>
      </c>
      <c r="O93" s="20">
        <f>O90/O92*100</f>
        <v>0.8567820328172745</v>
      </c>
      <c r="P93" s="20">
        <f t="shared" ref="P93:Y93" si="107">P90/P92*100</f>
        <v>0.11502510016894815</v>
      </c>
      <c r="Q93" s="20">
        <f t="shared" si="107"/>
        <v>0.38137458039562655</v>
      </c>
      <c r="R93" s="20">
        <f t="shared" si="107"/>
        <v>3.5104371982576439E-2</v>
      </c>
      <c r="S93" s="20">
        <f t="shared" si="107"/>
        <v>1.2981859895323986</v>
      </c>
      <c r="T93" s="20">
        <f t="shared" si="107"/>
        <v>2.4867961828844622</v>
      </c>
      <c r="U93" s="20">
        <f t="shared" si="107"/>
        <v>1.0785552535492986</v>
      </c>
      <c r="V93" s="20">
        <f t="shared" si="107"/>
        <v>1.1033400985837922</v>
      </c>
      <c r="W93" s="20">
        <f t="shared" si="107"/>
        <v>1.8770037513623155</v>
      </c>
      <c r="X93" s="20">
        <f t="shared" si="107"/>
        <v>0.57251743601995331</v>
      </c>
      <c r="Y93" s="20">
        <f t="shared" si="107"/>
        <v>3.6555418038670566E-2</v>
      </c>
    </row>
    <row r="94" spans="1:25" ht="15.75" thickBot="1" x14ac:dyDescent="0.3">
      <c r="A94" t="s">
        <v>61</v>
      </c>
      <c r="B94" s="1">
        <f>B91/B92*100</f>
        <v>49.242589607479673</v>
      </c>
      <c r="C94" s="1">
        <f t="shared" ref="C94:I94" si="108">C91/C92*100</f>
        <v>59.957338460837441</v>
      </c>
      <c r="D94" s="1">
        <f t="shared" si="108"/>
        <v>48.546138588035248</v>
      </c>
      <c r="E94" s="1">
        <f t="shared" si="108"/>
        <v>46.974967362520644</v>
      </c>
      <c r="F94" s="1">
        <f t="shared" si="108"/>
        <v>1.8016493763277703</v>
      </c>
      <c r="G94" s="1">
        <f t="shared" si="108"/>
        <v>3.4535427411784023</v>
      </c>
      <c r="H94" s="1">
        <f t="shared" si="108"/>
        <v>1.4963063936085068</v>
      </c>
      <c r="I94" s="1">
        <f t="shared" si="108"/>
        <v>1.5306353883356798</v>
      </c>
      <c r="N94" s="18" t="s">
        <v>61</v>
      </c>
      <c r="O94" s="21">
        <f>O91/O92*100</f>
        <v>1.1885750749376893</v>
      </c>
      <c r="P94" s="21">
        <f t="shared" ref="P94:Y94" si="109">P91/P92*100</f>
        <v>0.13719992954624777</v>
      </c>
      <c r="Q94" s="21">
        <f t="shared" si="109"/>
        <v>0.52906375613707013</v>
      </c>
      <c r="R94" s="21">
        <f t="shared" si="109"/>
        <v>4.1871881491088322E-2</v>
      </c>
      <c r="S94" s="21">
        <f t="shared" si="109"/>
        <v>1.8009148776356307</v>
      </c>
      <c r="T94" s="21">
        <f t="shared" si="109"/>
        <v>3.449820194883837</v>
      </c>
      <c r="U94" s="21">
        <f t="shared" si="109"/>
        <v>1.4962310625218207</v>
      </c>
      <c r="V94" s="21">
        <f t="shared" si="109"/>
        <v>1.5306139602902604</v>
      </c>
      <c r="W94" s="21">
        <f t="shared" si="109"/>
        <v>2.6038826550761529</v>
      </c>
      <c r="X94" s="21">
        <f t="shared" si="109"/>
        <v>0.79422761957669974</v>
      </c>
      <c r="Y94" s="21">
        <f t="shared" si="109"/>
        <v>4.360266387138674E-2</v>
      </c>
    </row>
    <row r="97" spans="14:25" x14ac:dyDescent="0.25">
      <c r="N97" t="str">
        <f>N73</f>
        <v>1 los per subap</v>
      </c>
      <c r="O97">
        <f t="shared" ref="O97:Y97" si="110">O73</f>
        <v>0</v>
      </c>
      <c r="P97">
        <f t="shared" si="110"/>
        <v>0</v>
      </c>
      <c r="Q97">
        <f t="shared" si="110"/>
        <v>0</v>
      </c>
      <c r="R97">
        <f t="shared" si="110"/>
        <v>0</v>
      </c>
      <c r="S97">
        <f t="shared" si="110"/>
        <v>0</v>
      </c>
      <c r="T97">
        <f t="shared" si="110"/>
        <v>0</v>
      </c>
      <c r="U97">
        <f t="shared" si="110"/>
        <v>0</v>
      </c>
      <c r="V97">
        <f t="shared" si="110"/>
        <v>0</v>
      </c>
      <c r="W97">
        <f t="shared" si="110"/>
        <v>0</v>
      </c>
      <c r="X97">
        <f t="shared" si="110"/>
        <v>0</v>
      </c>
      <c r="Y97">
        <f t="shared" si="110"/>
        <v>0</v>
      </c>
    </row>
    <row r="98" spans="14:25" x14ac:dyDescent="0.25">
      <c r="N98">
        <f t="shared" ref="N98:Y98" si="111">N74</f>
        <v>0</v>
      </c>
      <c r="O98" t="str">
        <f t="shared" si="111"/>
        <v>DKIST-16</v>
      </c>
      <c r="P98" t="str">
        <f t="shared" si="111"/>
        <v>DKIST-64</v>
      </c>
      <c r="Q98" t="str">
        <f t="shared" si="111"/>
        <v>EST-16</v>
      </c>
      <c r="R98" t="str">
        <f t="shared" si="111"/>
        <v>EST-64</v>
      </c>
      <c r="S98" t="str">
        <f t="shared" si="111"/>
        <v>GeMS</v>
      </c>
      <c r="T98" t="str">
        <f t="shared" si="111"/>
        <v>MAD</v>
      </c>
      <c r="U98" t="str">
        <f t="shared" si="111"/>
        <v>MAVIS</v>
      </c>
      <c r="V98" t="str">
        <f t="shared" si="111"/>
        <v>MORFEO</v>
      </c>
      <c r="W98" t="str">
        <f t="shared" si="111"/>
        <v>NFIRAOS</v>
      </c>
      <c r="X98" t="str">
        <f t="shared" si="111"/>
        <v>ALASCA</v>
      </c>
      <c r="Y98" t="str">
        <f t="shared" si="111"/>
        <v>ALASCA</v>
      </c>
    </row>
    <row r="99" spans="14:25" x14ac:dyDescent="0.25">
      <c r="N99" t="str">
        <f t="shared" ref="N99:Y99" si="112">N75</f>
        <v>t_ps</v>
      </c>
      <c r="O99">
        <f t="shared" si="112"/>
        <v>1.53</v>
      </c>
      <c r="P99">
        <f t="shared" si="112"/>
        <v>20</v>
      </c>
      <c r="Q99">
        <f t="shared" si="112"/>
        <v>3.84</v>
      </c>
      <c r="R99">
        <f t="shared" si="112"/>
        <v>50.2</v>
      </c>
      <c r="S99">
        <f t="shared" si="112"/>
        <v>0.19800000000000001</v>
      </c>
      <c r="T99">
        <f t="shared" si="112"/>
        <v>5.2499999999999998E-2</v>
      </c>
      <c r="U99">
        <f t="shared" si="112"/>
        <v>1.34</v>
      </c>
      <c r="V99">
        <f t="shared" si="112"/>
        <v>2.08</v>
      </c>
      <c r="W99">
        <f t="shared" si="112"/>
        <v>1.3</v>
      </c>
      <c r="X99">
        <f t="shared" si="112"/>
        <v>6.9400000000000003E-2</v>
      </c>
      <c r="Y99">
        <f t="shared" si="112"/>
        <v>0.90700000000000003</v>
      </c>
    </row>
    <row r="100" spans="14:25" x14ac:dyDescent="0.25">
      <c r="N100" t="str">
        <f t="shared" ref="N100:Y100" si="113">N76</f>
        <v>t_prop</v>
      </c>
      <c r="O100">
        <f t="shared" si="113"/>
        <v>0.57299999999999995</v>
      </c>
      <c r="P100">
        <f t="shared" si="113"/>
        <v>25.2</v>
      </c>
      <c r="Q100">
        <f t="shared" si="113"/>
        <v>1.1599999999999999</v>
      </c>
      <c r="R100">
        <f t="shared" si="113"/>
        <v>70.599999999999994</v>
      </c>
      <c r="S100">
        <f t="shared" si="113"/>
        <v>4.5999999999999999E-2</v>
      </c>
      <c r="T100">
        <f t="shared" si="113"/>
        <v>9.5899999999999996E-3</v>
      </c>
      <c r="U100">
        <f t="shared" si="113"/>
        <v>0.34200000000000003</v>
      </c>
      <c r="V100">
        <f t="shared" si="113"/>
        <v>1.24</v>
      </c>
      <c r="W100">
        <f t="shared" si="113"/>
        <v>0.874</v>
      </c>
      <c r="X100">
        <f t="shared" si="113"/>
        <v>4.4900000000000002E-2</v>
      </c>
      <c r="Y100">
        <f t="shared" si="113"/>
        <v>6.88</v>
      </c>
    </row>
    <row r="101" spans="14:25" x14ac:dyDescent="0.25">
      <c r="N101" t="str">
        <f t="shared" ref="N101:Y101" si="114">N77</f>
        <v>t_correlate</v>
      </c>
      <c r="O101">
        <f t="shared" si="114"/>
        <v>9.0000000000000006E-5</v>
      </c>
      <c r="P101">
        <f t="shared" si="114"/>
        <v>3.8000000000000002E-4</v>
      </c>
      <c r="Q101">
        <f t="shared" si="114"/>
        <v>9.0000000000000006E-5</v>
      </c>
      <c r="R101">
        <f t="shared" si="114"/>
        <v>3.8000000000000002E-4</v>
      </c>
      <c r="S101">
        <f t="shared" si="114"/>
        <v>0</v>
      </c>
      <c r="T101">
        <f t="shared" si="114"/>
        <v>0</v>
      </c>
      <c r="U101">
        <f t="shared" si="114"/>
        <v>0</v>
      </c>
      <c r="V101">
        <f t="shared" si="114"/>
        <v>0</v>
      </c>
      <c r="W101">
        <f t="shared" si="114"/>
        <v>0</v>
      </c>
      <c r="X101">
        <f t="shared" si="114"/>
        <v>0</v>
      </c>
      <c r="Y101">
        <f t="shared" si="114"/>
        <v>0</v>
      </c>
    </row>
    <row r="102" spans="14:25" x14ac:dyDescent="0.25">
      <c r="N102" t="str">
        <f t="shared" ref="N102:Y102" si="115">N78</f>
        <v>t_FT</v>
      </c>
      <c r="O102">
        <f t="shared" si="115"/>
        <v>5.6799999999999998E-5</v>
      </c>
      <c r="P102">
        <f t="shared" si="115"/>
        <v>1.84E-4</v>
      </c>
      <c r="Q102">
        <f t="shared" si="115"/>
        <v>5.6799999999999998E-5</v>
      </c>
      <c r="R102">
        <f t="shared" si="115"/>
        <v>1.84E-4</v>
      </c>
      <c r="S102">
        <f t="shared" si="115"/>
        <v>5.6799999999999998E-5</v>
      </c>
      <c r="T102">
        <f t="shared" si="115"/>
        <v>5.6799999999999998E-5</v>
      </c>
      <c r="U102">
        <f t="shared" si="115"/>
        <v>5.6799999999999998E-5</v>
      </c>
      <c r="V102">
        <f t="shared" si="115"/>
        <v>5.6799999999999998E-5</v>
      </c>
      <c r="W102">
        <f t="shared" si="115"/>
        <v>5.6799999999999998E-5</v>
      </c>
      <c r="X102">
        <f t="shared" si="115"/>
        <v>5.6799999999999998E-5</v>
      </c>
      <c r="Y102">
        <f t="shared" si="115"/>
        <v>1.84E-4</v>
      </c>
    </row>
    <row r="103" spans="14:25" x14ac:dyDescent="0.25">
      <c r="N103" t="str">
        <f t="shared" ref="N103:Y103" si="116">N79</f>
        <v>t_IG</v>
      </c>
      <c r="O103">
        <f t="shared" si="116"/>
        <v>3.6399999999999997E-5</v>
      </c>
      <c r="P103">
        <f t="shared" si="116"/>
        <v>7.8700000000000002E-5</v>
      </c>
      <c r="Q103">
        <f t="shared" si="116"/>
        <v>3.6399999999999997E-5</v>
      </c>
      <c r="R103">
        <f t="shared" si="116"/>
        <v>7.8700000000000002E-5</v>
      </c>
      <c r="S103">
        <f t="shared" si="116"/>
        <v>3.6399999999999997E-5</v>
      </c>
      <c r="T103">
        <f t="shared" si="116"/>
        <v>3.6399999999999997E-5</v>
      </c>
      <c r="U103">
        <f t="shared" si="116"/>
        <v>3.6399999999999997E-5</v>
      </c>
      <c r="V103">
        <f t="shared" si="116"/>
        <v>3.6399999999999997E-5</v>
      </c>
      <c r="W103">
        <f t="shared" si="116"/>
        <v>3.6399999999999997E-5</v>
      </c>
      <c r="X103">
        <f t="shared" si="116"/>
        <v>3.6399999999999997E-5</v>
      </c>
      <c r="Y103">
        <f t="shared" si="116"/>
        <v>7.8700000000000002E-5</v>
      </c>
    </row>
    <row r="104" spans="14:25" x14ac:dyDescent="0.25">
      <c r="N104" t="str">
        <f t="shared" ref="N104:Y104" si="117">N80</f>
        <v>t_G</v>
      </c>
      <c r="O104">
        <f t="shared" si="117"/>
        <v>2.8500000000000002E-5</v>
      </c>
      <c r="P104">
        <f t="shared" si="117"/>
        <v>5.8400000000000003E-5</v>
      </c>
      <c r="Q104">
        <f t="shared" si="117"/>
        <v>2.8500000000000002E-5</v>
      </c>
      <c r="R104">
        <f t="shared" si="117"/>
        <v>5.8400000000000003E-5</v>
      </c>
      <c r="S104">
        <f t="shared" si="117"/>
        <v>2.8500000000000002E-5</v>
      </c>
      <c r="T104">
        <f t="shared" si="117"/>
        <v>2.8500000000000002E-5</v>
      </c>
      <c r="U104">
        <f t="shared" si="117"/>
        <v>2.8500000000000002E-5</v>
      </c>
      <c r="V104">
        <f t="shared" si="117"/>
        <v>2.8500000000000002E-5</v>
      </c>
      <c r="W104">
        <f t="shared" si="117"/>
        <v>2.8500000000000002E-5</v>
      </c>
      <c r="X104">
        <f t="shared" si="117"/>
        <v>2.8500000000000002E-5</v>
      </c>
      <c r="Y104">
        <f t="shared" si="117"/>
        <v>5.8400000000000003E-5</v>
      </c>
    </row>
    <row r="105" spans="14:25" x14ac:dyDescent="0.25">
      <c r="N105" t="str">
        <f t="shared" ref="N105:Y105" si="118">N81</f>
        <v>number ps</v>
      </c>
      <c r="O105">
        <f t="shared" si="118"/>
        <v>3</v>
      </c>
      <c r="P105">
        <f t="shared" si="118"/>
        <v>3</v>
      </c>
      <c r="Q105">
        <f t="shared" si="118"/>
        <v>5</v>
      </c>
      <c r="R105">
        <f t="shared" si="118"/>
        <v>5</v>
      </c>
      <c r="S105">
        <f t="shared" si="118"/>
        <v>3</v>
      </c>
      <c r="T105">
        <f t="shared" si="118"/>
        <v>2</v>
      </c>
      <c r="U105">
        <f t="shared" si="118"/>
        <v>3</v>
      </c>
      <c r="V105">
        <f t="shared" si="118"/>
        <v>3</v>
      </c>
      <c r="W105">
        <f t="shared" si="118"/>
        <v>2</v>
      </c>
      <c r="X105">
        <f t="shared" si="118"/>
        <v>2</v>
      </c>
      <c r="Y105">
        <f t="shared" si="118"/>
        <v>2</v>
      </c>
    </row>
    <row r="106" spans="14:25" x14ac:dyDescent="0.25">
      <c r="N106" t="str">
        <f t="shared" ref="N106:Y106" si="119">N82</f>
        <v>number prop</v>
      </c>
      <c r="O106">
        <f t="shared" si="119"/>
        <v>45</v>
      </c>
      <c r="P106">
        <f t="shared" si="119"/>
        <v>45</v>
      </c>
      <c r="Q106">
        <f t="shared" si="119"/>
        <v>171</v>
      </c>
      <c r="R106">
        <f t="shared" si="119"/>
        <v>171</v>
      </c>
      <c r="S106">
        <f t="shared" si="119"/>
        <v>40</v>
      </c>
      <c r="T106">
        <f t="shared" si="119"/>
        <v>33</v>
      </c>
      <c r="U106">
        <f t="shared" si="119"/>
        <v>55</v>
      </c>
      <c r="V106">
        <f t="shared" si="119"/>
        <v>45</v>
      </c>
      <c r="W106">
        <f t="shared" si="119"/>
        <v>27</v>
      </c>
      <c r="X106">
        <f t="shared" si="119"/>
        <v>3</v>
      </c>
      <c r="Y106">
        <f t="shared" si="119"/>
        <v>3</v>
      </c>
    </row>
    <row r="107" spans="14:25" x14ac:dyDescent="0.25">
      <c r="N107" t="str">
        <f t="shared" ref="N107:Y107" si="120">N83</f>
        <v>numsubap</v>
      </c>
      <c r="O107">
        <f t="shared" si="120"/>
        <v>13069</v>
      </c>
      <c r="P107">
        <f t="shared" si="120"/>
        <v>13069</v>
      </c>
      <c r="Q107">
        <f t="shared" si="120"/>
        <v>41109</v>
      </c>
      <c r="R107">
        <f t="shared" si="120"/>
        <v>41109</v>
      </c>
      <c r="S107">
        <f t="shared" si="120"/>
        <v>1607</v>
      </c>
      <c r="T107">
        <f t="shared" si="120"/>
        <v>552</v>
      </c>
      <c r="U107">
        <f t="shared" si="120"/>
        <v>12444</v>
      </c>
      <c r="V107">
        <f t="shared" si="120"/>
        <v>34618</v>
      </c>
      <c r="W107">
        <f t="shared" si="120"/>
        <v>25434</v>
      </c>
      <c r="X107">
        <f t="shared" si="120"/>
        <v>78</v>
      </c>
      <c r="Y107">
        <f t="shared" si="120"/>
        <v>78</v>
      </c>
    </row>
    <row r="108" spans="14:25" x14ac:dyDescent="0.25">
      <c r="N108" t="str">
        <f t="shared" ref="N108:Y108" si="121">N84</f>
        <v>T_ps</v>
      </c>
      <c r="O108">
        <f t="shared" si="121"/>
        <v>4.59</v>
      </c>
      <c r="P108">
        <f t="shared" si="121"/>
        <v>60</v>
      </c>
      <c r="Q108">
        <f t="shared" si="121"/>
        <v>19.2</v>
      </c>
      <c r="R108">
        <f t="shared" si="121"/>
        <v>251</v>
      </c>
      <c r="S108">
        <f t="shared" si="121"/>
        <v>0.59400000000000008</v>
      </c>
      <c r="T108">
        <f t="shared" si="121"/>
        <v>0.105</v>
      </c>
      <c r="U108">
        <f t="shared" si="121"/>
        <v>4.0200000000000005</v>
      </c>
      <c r="V108">
        <f t="shared" si="121"/>
        <v>6.24</v>
      </c>
      <c r="W108">
        <f t="shared" si="121"/>
        <v>2.6</v>
      </c>
      <c r="X108">
        <f t="shared" si="121"/>
        <v>0.13880000000000001</v>
      </c>
      <c r="Y108">
        <f t="shared" si="121"/>
        <v>1.8140000000000001</v>
      </c>
    </row>
    <row r="109" spans="14:25" x14ac:dyDescent="0.25">
      <c r="N109" t="str">
        <f t="shared" ref="N109:Y109" si="122">N85</f>
        <v>T_prop</v>
      </c>
      <c r="O109">
        <f t="shared" si="122"/>
        <v>25.784999999999997</v>
      </c>
      <c r="P109">
        <f t="shared" si="122"/>
        <v>1134</v>
      </c>
      <c r="Q109">
        <f t="shared" si="122"/>
        <v>198.35999999999999</v>
      </c>
      <c r="R109">
        <f t="shared" si="122"/>
        <v>12072.599999999999</v>
      </c>
      <c r="S109">
        <f t="shared" si="122"/>
        <v>1.8399999999999999</v>
      </c>
      <c r="T109">
        <f t="shared" si="122"/>
        <v>0.31646999999999997</v>
      </c>
      <c r="U109">
        <f t="shared" si="122"/>
        <v>18.810000000000002</v>
      </c>
      <c r="V109">
        <f t="shared" si="122"/>
        <v>55.8</v>
      </c>
      <c r="W109">
        <f t="shared" si="122"/>
        <v>23.597999999999999</v>
      </c>
      <c r="X109">
        <f t="shared" si="122"/>
        <v>0.13470000000000001</v>
      </c>
      <c r="Y109">
        <f t="shared" si="122"/>
        <v>20.64</v>
      </c>
    </row>
    <row r="110" spans="14:25" x14ac:dyDescent="0.25">
      <c r="N110" t="str">
        <f t="shared" ref="N110:Y110" si="123">N86</f>
        <v>T_correlate</v>
      </c>
      <c r="O110">
        <f t="shared" si="123"/>
        <v>1.17621</v>
      </c>
      <c r="P110">
        <f t="shared" si="123"/>
        <v>4.9662199999999999</v>
      </c>
      <c r="Q110">
        <f t="shared" si="123"/>
        <v>3.6998100000000003</v>
      </c>
      <c r="R110">
        <f t="shared" si="123"/>
        <v>15.621420000000001</v>
      </c>
      <c r="S110">
        <f t="shared" si="123"/>
        <v>0</v>
      </c>
      <c r="T110">
        <f t="shared" si="123"/>
        <v>0</v>
      </c>
      <c r="U110">
        <f t="shared" si="123"/>
        <v>0</v>
      </c>
      <c r="V110">
        <f t="shared" si="123"/>
        <v>0</v>
      </c>
      <c r="W110">
        <f t="shared" si="123"/>
        <v>0</v>
      </c>
      <c r="X110">
        <f t="shared" si="123"/>
        <v>0</v>
      </c>
      <c r="Y110">
        <f t="shared" si="123"/>
        <v>0</v>
      </c>
    </row>
    <row r="111" spans="14:25" x14ac:dyDescent="0.25">
      <c r="N111" t="str">
        <f t="shared" ref="N111:Y111" si="124">N87</f>
        <v>T_FT</v>
      </c>
      <c r="O111">
        <f t="shared" si="124"/>
        <v>0.74231919999999996</v>
      </c>
      <c r="P111">
        <f t="shared" si="124"/>
        <v>2.4046959999999999</v>
      </c>
      <c r="Q111">
        <f t="shared" si="124"/>
        <v>2.3349911999999997</v>
      </c>
      <c r="R111">
        <f t="shared" si="124"/>
        <v>7.5640559999999999</v>
      </c>
      <c r="S111">
        <f t="shared" si="124"/>
        <v>9.12776E-2</v>
      </c>
      <c r="T111">
        <f t="shared" si="124"/>
        <v>3.1353600000000002E-2</v>
      </c>
      <c r="U111">
        <f t="shared" si="124"/>
        <v>0.70681919999999998</v>
      </c>
      <c r="V111">
        <f t="shared" si="124"/>
        <v>1.9663024</v>
      </c>
      <c r="W111">
        <f t="shared" si="124"/>
        <v>1.4446512</v>
      </c>
      <c r="X111">
        <f t="shared" si="124"/>
        <v>4.4304000000000001E-3</v>
      </c>
      <c r="Y111">
        <f t="shared" si="124"/>
        <v>1.4352E-2</v>
      </c>
    </row>
    <row r="112" spans="14:25" x14ac:dyDescent="0.25">
      <c r="N112" t="str">
        <f t="shared" ref="N112:Y112" si="125">N88</f>
        <v>T_IG</v>
      </c>
      <c r="O112">
        <f t="shared" si="125"/>
        <v>0.47571159999999996</v>
      </c>
      <c r="P112">
        <f t="shared" si="125"/>
        <v>1.0285303000000001</v>
      </c>
      <c r="Q112">
        <f t="shared" si="125"/>
        <v>1.4963675999999999</v>
      </c>
      <c r="R112">
        <f t="shared" si="125"/>
        <v>3.2352783000000001</v>
      </c>
      <c r="S112">
        <f t="shared" si="125"/>
        <v>5.8494799999999993E-2</v>
      </c>
      <c r="T112">
        <f t="shared" si="125"/>
        <v>2.0092799999999997E-2</v>
      </c>
      <c r="U112">
        <f t="shared" si="125"/>
        <v>0.45296159999999996</v>
      </c>
      <c r="V112">
        <f t="shared" si="125"/>
        <v>1.2600951999999999</v>
      </c>
      <c r="W112">
        <f t="shared" si="125"/>
        <v>0.92579759999999989</v>
      </c>
      <c r="X112">
        <f t="shared" si="125"/>
        <v>2.8391999999999996E-3</v>
      </c>
      <c r="Y112">
        <f t="shared" si="125"/>
        <v>6.1386000000000001E-3</v>
      </c>
    </row>
    <row r="113" spans="14:25" x14ac:dyDescent="0.25">
      <c r="N113" t="str">
        <f t="shared" ref="N113:Y113" si="126">N89</f>
        <v>T_G</v>
      </c>
      <c r="O113">
        <f t="shared" si="126"/>
        <v>0.37246650000000003</v>
      </c>
      <c r="P113">
        <f t="shared" si="126"/>
        <v>0.76322960000000006</v>
      </c>
      <c r="Q113">
        <f t="shared" si="126"/>
        <v>1.1716065</v>
      </c>
      <c r="R113">
        <f t="shared" si="126"/>
        <v>2.4007656000000002</v>
      </c>
      <c r="S113">
        <f t="shared" si="126"/>
        <v>4.57995E-2</v>
      </c>
      <c r="T113">
        <f t="shared" si="126"/>
        <v>1.5731999999999999E-2</v>
      </c>
      <c r="U113">
        <f t="shared" si="126"/>
        <v>0.35465400000000002</v>
      </c>
      <c r="V113">
        <f t="shared" si="126"/>
        <v>0.98661300000000007</v>
      </c>
      <c r="W113">
        <f t="shared" si="126"/>
        <v>0.72486899999999999</v>
      </c>
      <c r="X113">
        <f t="shared" si="126"/>
        <v>2.2230000000000001E-3</v>
      </c>
      <c r="Y113">
        <f t="shared" si="126"/>
        <v>4.5552000000000006E-3</v>
      </c>
    </row>
    <row r="114" spans="14:25" x14ac:dyDescent="0.25">
      <c r="N114" t="str">
        <f>N90</f>
        <v>benefit-IG (s)</v>
      </c>
      <c r="O114">
        <f t="shared" ref="O114:Y114" si="127">O90</f>
        <v>0.2666076</v>
      </c>
      <c r="P114">
        <f t="shared" si="127"/>
        <v>1.3761656999999998</v>
      </c>
      <c r="Q114">
        <f t="shared" si="127"/>
        <v>0.8386235999999998</v>
      </c>
      <c r="R114">
        <f t="shared" si="127"/>
        <v>4.3287776999999998</v>
      </c>
      <c r="S114">
        <f t="shared" si="127"/>
        <v>3.2782800000000008E-2</v>
      </c>
      <c r="T114">
        <f t="shared" si="127"/>
        <v>1.1260800000000005E-2</v>
      </c>
      <c r="U114">
        <f t="shared" si="127"/>
        <v>0.25385760000000002</v>
      </c>
      <c r="V114">
        <f t="shared" si="127"/>
        <v>0.70620720000000015</v>
      </c>
      <c r="W114">
        <f t="shared" si="127"/>
        <v>0.51885360000000014</v>
      </c>
      <c r="X114">
        <f t="shared" si="127"/>
        <v>1.5912000000000005E-3</v>
      </c>
      <c r="Y114">
        <f t="shared" si="127"/>
        <v>8.2133999999999992E-3</v>
      </c>
    </row>
    <row r="115" spans="14:25" x14ac:dyDescent="0.25">
      <c r="N115" t="str">
        <f t="shared" ref="N115:Y115" si="128">N91</f>
        <v>benefit-G (s)</v>
      </c>
      <c r="O115">
        <f t="shared" si="128"/>
        <v>0.36985269999999992</v>
      </c>
      <c r="P115">
        <f t="shared" si="128"/>
        <v>1.6414663999999999</v>
      </c>
      <c r="Q115">
        <f t="shared" si="128"/>
        <v>1.1633846999999997</v>
      </c>
      <c r="R115">
        <f t="shared" si="128"/>
        <v>5.1632903999999993</v>
      </c>
      <c r="S115">
        <f t="shared" si="128"/>
        <v>4.54781E-2</v>
      </c>
      <c r="T115">
        <f t="shared" si="128"/>
        <v>1.5621600000000003E-2</v>
      </c>
      <c r="U115">
        <f t="shared" si="128"/>
        <v>0.35216519999999996</v>
      </c>
      <c r="V115">
        <f t="shared" si="128"/>
        <v>0.97968939999999993</v>
      </c>
      <c r="W115">
        <f t="shared" si="128"/>
        <v>0.71978220000000004</v>
      </c>
      <c r="X115">
        <f t="shared" si="128"/>
        <v>2.2074E-3</v>
      </c>
      <c r="Y115">
        <f t="shared" si="128"/>
        <v>9.7967999999999996E-3</v>
      </c>
    </row>
    <row r="116" spans="14:25" x14ac:dyDescent="0.25">
      <c r="N116" t="str">
        <f t="shared" ref="N116:Y116" si="129">N92</f>
        <v>totft (s)</v>
      </c>
      <c r="O116">
        <f t="shared" si="129"/>
        <v>31.117319199999997</v>
      </c>
      <c r="P116">
        <f t="shared" si="129"/>
        <v>1196.4046960000001</v>
      </c>
      <c r="Q116">
        <f t="shared" si="129"/>
        <v>219.89499119999996</v>
      </c>
      <c r="R116">
        <f t="shared" si="129"/>
        <v>12331.164055999998</v>
      </c>
      <c r="S116">
        <f t="shared" si="129"/>
        <v>2.5252776000000003</v>
      </c>
      <c r="T116">
        <f t="shared" si="129"/>
        <v>0.45282359999999994</v>
      </c>
      <c r="U116">
        <f t="shared" si="129"/>
        <v>23.536819200000004</v>
      </c>
      <c r="V116">
        <f t="shared" si="129"/>
        <v>64.006302399999996</v>
      </c>
      <c r="W116">
        <f t="shared" si="129"/>
        <v>27.6426512</v>
      </c>
      <c r="X116">
        <f t="shared" si="129"/>
        <v>0.27793040000000002</v>
      </c>
      <c r="Y116">
        <f t="shared" si="129"/>
        <v>22.468351999999999</v>
      </c>
    </row>
    <row r="117" spans="14:25" x14ac:dyDescent="0.25">
      <c r="N117" t="str">
        <f t="shared" ref="N117:Y117" si="130">N93</f>
        <v>gainig%</v>
      </c>
      <c r="O117">
        <f t="shared" si="130"/>
        <v>0.8567820328172745</v>
      </c>
      <c r="P117">
        <f t="shared" si="130"/>
        <v>0.11502510016894815</v>
      </c>
      <c r="Q117">
        <f t="shared" si="130"/>
        <v>0.38137458039562655</v>
      </c>
      <c r="R117">
        <f t="shared" si="130"/>
        <v>3.5104371982576439E-2</v>
      </c>
      <c r="S117">
        <f t="shared" si="130"/>
        <v>1.2981859895323986</v>
      </c>
      <c r="T117">
        <f t="shared" si="130"/>
        <v>2.4867961828844622</v>
      </c>
      <c r="U117">
        <f t="shared" si="130"/>
        <v>1.0785552535492986</v>
      </c>
      <c r="V117">
        <f t="shared" si="130"/>
        <v>1.1033400985837922</v>
      </c>
      <c r="W117">
        <f t="shared" si="130"/>
        <v>1.8770037513623155</v>
      </c>
      <c r="X117">
        <f t="shared" si="130"/>
        <v>0.57251743601995331</v>
      </c>
      <c r="Y117">
        <f t="shared" si="130"/>
        <v>3.6555418038670566E-2</v>
      </c>
    </row>
    <row r="118" spans="14:25" x14ac:dyDescent="0.25">
      <c r="N118" t="str">
        <f t="shared" ref="N118:Y118" si="131">N94</f>
        <v>gaing%</v>
      </c>
      <c r="O118">
        <f t="shared" si="131"/>
        <v>1.1885750749376893</v>
      </c>
      <c r="P118">
        <f t="shared" si="131"/>
        <v>0.13719992954624777</v>
      </c>
      <c r="Q118">
        <f t="shared" si="131"/>
        <v>0.52906375613707013</v>
      </c>
      <c r="R118">
        <f t="shared" si="131"/>
        <v>4.1871881491088322E-2</v>
      </c>
      <c r="S118">
        <f t="shared" si="131"/>
        <v>1.8009148776356307</v>
      </c>
      <c r="T118">
        <f t="shared" si="131"/>
        <v>3.449820194883837</v>
      </c>
      <c r="U118">
        <f t="shared" si="131"/>
        <v>1.4962310625218207</v>
      </c>
      <c r="V118">
        <f t="shared" si="131"/>
        <v>1.5306139602902604</v>
      </c>
      <c r="W118">
        <f t="shared" si="131"/>
        <v>2.6038826550761529</v>
      </c>
      <c r="X118">
        <f t="shared" si="131"/>
        <v>0.79422761957669974</v>
      </c>
      <c r="Y118">
        <f t="shared" si="131"/>
        <v>4.360266387138674E-2</v>
      </c>
    </row>
  </sheetData>
  <hyperlinks>
    <hyperlink ref="A7" r:id="rId1" xr:uid="{9EAF51F3-3414-430C-8ED1-C506879090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374-F9B1-4100-B113-FD53983FE9B9}">
  <dimension ref="A1:G22"/>
  <sheetViews>
    <sheetView workbookViewId="0">
      <selection activeCell="B23" sqref="B23"/>
    </sheetView>
  </sheetViews>
  <sheetFormatPr defaultRowHeight="15" x14ac:dyDescent="0.25"/>
  <cols>
    <col min="1" max="1" width="15.28515625" bestFit="1" customWidth="1"/>
    <col min="2" max="6" width="12" bestFit="1" customWidth="1"/>
    <col min="7" max="7" width="11" bestFit="1" customWidth="1"/>
    <col min="8" max="8" width="10" bestFit="1" customWidth="1"/>
  </cols>
  <sheetData>
    <row r="1" spans="1:7" x14ac:dyDescent="0.25">
      <c r="A1">
        <f>Sheet1!A74</f>
        <v>0</v>
      </c>
      <c r="B1" t="str">
        <f>Sheet1!B74</f>
        <v>DKIST-16</v>
      </c>
      <c r="C1" t="str">
        <f>Sheet1!C74</f>
        <v>DKIST-64</v>
      </c>
      <c r="D1" t="str">
        <f>Sheet1!D74</f>
        <v>EST-16</v>
      </c>
      <c r="E1" t="str">
        <f>Sheet1!E74</f>
        <v>EST-64</v>
      </c>
      <c r="F1" t="str">
        <f>Sheet1!G74</f>
        <v>MAD</v>
      </c>
      <c r="G1" t="str">
        <f>Sheet1!I74</f>
        <v>MORFEO</v>
      </c>
    </row>
    <row r="2" spans="1:7" x14ac:dyDescent="0.25">
      <c r="A2" t="str">
        <f>Sheet1!A75</f>
        <v>t_ps</v>
      </c>
      <c r="B2">
        <f>Sheet1!B75</f>
        <v>1.53</v>
      </c>
      <c r="C2">
        <f>Sheet1!C75</f>
        <v>20</v>
      </c>
      <c r="D2">
        <f>Sheet1!D75</f>
        <v>3.84</v>
      </c>
      <c r="E2">
        <f>Sheet1!E75</f>
        <v>50.2</v>
      </c>
      <c r="F2">
        <f>Sheet1!G75</f>
        <v>5.2499999999999998E-2</v>
      </c>
      <c r="G2">
        <f>Sheet1!I75</f>
        <v>2.08</v>
      </c>
    </row>
    <row r="3" spans="1:7" x14ac:dyDescent="0.25">
      <c r="A3" t="str">
        <f>Sheet1!A76</f>
        <v>t_prop</v>
      </c>
      <c r="B3">
        <f>Sheet1!B76</f>
        <v>0.57299999999999995</v>
      </c>
      <c r="C3">
        <f>Sheet1!C76</f>
        <v>25.2</v>
      </c>
      <c r="D3">
        <f>Sheet1!D76</f>
        <v>1.1599999999999999</v>
      </c>
      <c r="E3">
        <f>Sheet1!E76</f>
        <v>70.599999999999994</v>
      </c>
      <c r="F3">
        <f>Sheet1!G76</f>
        <v>9.5899999999999996E-3</v>
      </c>
      <c r="G3">
        <f>Sheet1!I76</f>
        <v>1.24</v>
      </c>
    </row>
    <row r="4" spans="1:7" x14ac:dyDescent="0.25">
      <c r="A4" t="str">
        <f>Sheet1!A80</f>
        <v>t_correlate</v>
      </c>
      <c r="B4">
        <f>Sheet1!B80</f>
        <v>9.0000000000000006E-5</v>
      </c>
      <c r="C4">
        <f>Sheet1!C80</f>
        <v>3.8000000000000002E-4</v>
      </c>
      <c r="D4">
        <f>Sheet1!D80</f>
        <v>9.0000000000000006E-5</v>
      </c>
      <c r="E4">
        <f>Sheet1!E80</f>
        <v>3.8000000000000002E-4</v>
      </c>
      <c r="F4">
        <f>Sheet1!G80</f>
        <v>0</v>
      </c>
      <c r="G4">
        <f>Sheet1!I80</f>
        <v>0</v>
      </c>
    </row>
    <row r="5" spans="1:7" x14ac:dyDescent="0.25">
      <c r="A5" t="str">
        <f>Sheet1!A77</f>
        <v>t_FT</v>
      </c>
      <c r="B5">
        <f>Sheet1!B77</f>
        <v>5.6799999999999998E-5</v>
      </c>
      <c r="C5">
        <f>Sheet1!C77</f>
        <v>1.84E-4</v>
      </c>
      <c r="D5">
        <f>Sheet1!D77</f>
        <v>5.6799999999999998E-5</v>
      </c>
      <c r="E5">
        <f>Sheet1!E77</f>
        <v>1.84E-4</v>
      </c>
      <c r="F5">
        <f>Sheet1!G77</f>
        <v>5.6799999999999998E-5</v>
      </c>
      <c r="G5">
        <f>Sheet1!I77</f>
        <v>5.6799999999999998E-5</v>
      </c>
    </row>
    <row r="6" spans="1:7" x14ac:dyDescent="0.25">
      <c r="A6" t="str">
        <f>Sheet1!A78</f>
        <v>t_IG</v>
      </c>
      <c r="B6">
        <f>Sheet1!B78</f>
        <v>3.6399999999999997E-5</v>
      </c>
      <c r="C6">
        <f>Sheet1!C78</f>
        <v>7.8700000000000002E-5</v>
      </c>
      <c r="D6">
        <f>Sheet1!D78</f>
        <v>3.6399999999999997E-5</v>
      </c>
      <c r="E6">
        <f>Sheet1!E78</f>
        <v>7.8700000000000002E-5</v>
      </c>
      <c r="F6">
        <f>Sheet1!G78</f>
        <v>3.6399999999999997E-5</v>
      </c>
      <c r="G6">
        <f>Sheet1!I78</f>
        <v>3.6399999999999997E-5</v>
      </c>
    </row>
    <row r="7" spans="1:7" x14ac:dyDescent="0.25">
      <c r="A7" t="str">
        <f>Sheet1!A79</f>
        <v>t_G</v>
      </c>
      <c r="B7">
        <f>Sheet1!B79</f>
        <v>2.8500000000000002E-5</v>
      </c>
      <c r="C7">
        <f>Sheet1!C79</f>
        <v>5.8400000000000003E-5</v>
      </c>
      <c r="D7">
        <f>Sheet1!D79</f>
        <v>2.8500000000000002E-5</v>
      </c>
      <c r="E7">
        <f>Sheet1!E79</f>
        <v>5.8400000000000003E-5</v>
      </c>
      <c r="F7">
        <f>Sheet1!G79</f>
        <v>2.8500000000000002E-5</v>
      </c>
      <c r="G7">
        <f>Sheet1!I79</f>
        <v>2.8500000000000002E-5</v>
      </c>
    </row>
    <row r="8" spans="1:7" x14ac:dyDescent="0.25">
      <c r="A8" t="str">
        <f>Sheet1!A81</f>
        <v>number ps</v>
      </c>
      <c r="B8" s="2">
        <f>Sheet1!B16</f>
        <v>3</v>
      </c>
      <c r="C8" s="2">
        <f>Sheet1!C16</f>
        <v>3</v>
      </c>
      <c r="D8" s="2">
        <f>Sheet1!D16</f>
        <v>5</v>
      </c>
      <c r="E8" s="2">
        <f>Sheet1!E16</f>
        <v>5</v>
      </c>
      <c r="F8" s="2">
        <f>Sheet1!F16</f>
        <v>3</v>
      </c>
      <c r="G8" s="2">
        <f>Sheet1!G16</f>
        <v>2</v>
      </c>
    </row>
    <row r="9" spans="1:7" x14ac:dyDescent="0.25">
      <c r="A9" t="s">
        <v>56</v>
      </c>
      <c r="B9" s="2">
        <f>INT(Sheet1!B48*Sheet1!B50)</f>
        <v>13069</v>
      </c>
      <c r="C9" s="2">
        <f>INT(Sheet1!C48*Sheet1!C50)</f>
        <v>13069</v>
      </c>
      <c r="D9" s="2">
        <f>INT(Sheet1!D48*Sheet1!D50)</f>
        <v>41109</v>
      </c>
      <c r="E9" s="2">
        <f>INT(Sheet1!E48*Sheet1!E50)</f>
        <v>41109</v>
      </c>
      <c r="F9" s="2">
        <f>INT(Sheet1!F48*Sheet1!F50)</f>
        <v>1607</v>
      </c>
      <c r="G9" s="2">
        <f>INT(Sheet1!G48*Sheet1!G50)</f>
        <v>552</v>
      </c>
    </row>
    <row r="10" spans="1:7" x14ac:dyDescent="0.25">
      <c r="A10" t="s">
        <v>57</v>
      </c>
      <c r="B10" s="2">
        <f>Sheet1!B52</f>
        <v>3600</v>
      </c>
      <c r="C10" s="2">
        <f>Sheet1!C52</f>
        <v>3600</v>
      </c>
      <c r="D10" s="2">
        <f>Sheet1!D52</f>
        <v>3600</v>
      </c>
      <c r="E10" s="2">
        <f>Sheet1!E52</f>
        <v>3600</v>
      </c>
      <c r="F10" s="2">
        <f>Sheet1!F52</f>
        <v>1</v>
      </c>
      <c r="G10" s="2">
        <f>Sheet1!G52</f>
        <v>1</v>
      </c>
    </row>
    <row r="11" spans="1:7" x14ac:dyDescent="0.25">
      <c r="A11" t="s">
        <v>58</v>
      </c>
      <c r="B11">
        <f>(B8*2-1)*B9</f>
        <v>65345</v>
      </c>
      <c r="C11">
        <f t="shared" ref="C11:G11" si="0">(C8*2-1)*C9</f>
        <v>65345</v>
      </c>
      <c r="D11">
        <f t="shared" si="0"/>
        <v>369981</v>
      </c>
      <c r="E11">
        <f t="shared" si="0"/>
        <v>369981</v>
      </c>
      <c r="F11">
        <f t="shared" si="0"/>
        <v>8035</v>
      </c>
      <c r="G11">
        <f t="shared" si="0"/>
        <v>1656</v>
      </c>
    </row>
    <row r="12" spans="1:7" x14ac:dyDescent="0.25">
      <c r="A12" t="str">
        <f>Sheet1!A84</f>
        <v>T_ps</v>
      </c>
      <c r="B12">
        <f>B8*B2</f>
        <v>4.59</v>
      </c>
      <c r="C12">
        <f>C8*C2</f>
        <v>60</v>
      </c>
      <c r="D12">
        <f>D8*D2</f>
        <v>19.2</v>
      </c>
      <c r="E12">
        <f>E8*E2</f>
        <v>251</v>
      </c>
      <c r="F12">
        <f>F8*F2</f>
        <v>0.1575</v>
      </c>
      <c r="G12">
        <f>G8*G2</f>
        <v>4.16</v>
      </c>
    </row>
    <row r="13" spans="1:7" x14ac:dyDescent="0.25">
      <c r="A13" t="str">
        <f>Sheet1!A85</f>
        <v>T_prop</v>
      </c>
      <c r="B13">
        <f>B11*B3</f>
        <v>37442.684999999998</v>
      </c>
      <c r="C13">
        <f t="shared" ref="C13:G13" si="1">C11*C3</f>
        <v>1646694</v>
      </c>
      <c r="D13">
        <f t="shared" si="1"/>
        <v>429177.95999999996</v>
      </c>
      <c r="E13">
        <f t="shared" si="1"/>
        <v>26120658.599999998</v>
      </c>
      <c r="F13">
        <f t="shared" si="1"/>
        <v>77.05565</v>
      </c>
      <c r="G13">
        <f t="shared" si="1"/>
        <v>2053.44</v>
      </c>
    </row>
    <row r="14" spans="1:7" x14ac:dyDescent="0.25">
      <c r="A14" t="str">
        <f>Sheet1!A89</f>
        <v>T_correlate</v>
      </c>
      <c r="B14">
        <f>B4*B9</f>
        <v>1.17621</v>
      </c>
      <c r="C14">
        <f>C4*C9</f>
        <v>4.9662199999999999</v>
      </c>
      <c r="D14">
        <f>D4*D9</f>
        <v>3.6998100000000003</v>
      </c>
      <c r="E14">
        <f>E4*E9</f>
        <v>15.621420000000001</v>
      </c>
      <c r="F14">
        <f>F4*F9</f>
        <v>0</v>
      </c>
      <c r="G14">
        <f>G4*G9</f>
        <v>0</v>
      </c>
    </row>
    <row r="15" spans="1:7" x14ac:dyDescent="0.25">
      <c r="A15" t="str">
        <f>Sheet1!A86</f>
        <v>T_FT</v>
      </c>
      <c r="B15">
        <f>B5*B9</f>
        <v>0.74231919999999996</v>
      </c>
      <c r="C15">
        <f t="shared" ref="C15:G15" si="2">C5*C9</f>
        <v>2.4046959999999999</v>
      </c>
      <c r="D15">
        <f t="shared" si="2"/>
        <v>2.3349911999999997</v>
      </c>
      <c r="E15">
        <f t="shared" si="2"/>
        <v>7.5640559999999999</v>
      </c>
      <c r="F15">
        <f t="shared" si="2"/>
        <v>9.12776E-2</v>
      </c>
      <c r="G15">
        <f t="shared" si="2"/>
        <v>3.1353600000000002E-2</v>
      </c>
    </row>
    <row r="16" spans="1:7" x14ac:dyDescent="0.25">
      <c r="A16" t="str">
        <f>Sheet1!A87</f>
        <v>T_IG</v>
      </c>
      <c r="B16">
        <f>B6*B9</f>
        <v>0.47571159999999996</v>
      </c>
      <c r="C16">
        <f t="shared" ref="C16:G16" si="3">C6*C9</f>
        <v>1.0285303000000001</v>
      </c>
      <c r="D16">
        <f t="shared" si="3"/>
        <v>1.4963675999999999</v>
      </c>
      <c r="E16">
        <f t="shared" si="3"/>
        <v>3.2352783000000001</v>
      </c>
      <c r="F16">
        <f t="shared" si="3"/>
        <v>5.8494799999999993E-2</v>
      </c>
      <c r="G16">
        <f t="shared" si="3"/>
        <v>2.0092799999999997E-2</v>
      </c>
    </row>
    <row r="17" spans="1:7" x14ac:dyDescent="0.25">
      <c r="A17" t="str">
        <f>Sheet1!A88</f>
        <v>T_G</v>
      </c>
      <c r="B17">
        <f>B7*B9</f>
        <v>0.37246650000000003</v>
      </c>
      <c r="C17">
        <f t="shared" ref="C17:G17" si="4">C7*C9</f>
        <v>0.76322960000000006</v>
      </c>
      <c r="D17">
        <f t="shared" si="4"/>
        <v>1.1716065</v>
      </c>
      <c r="E17">
        <f t="shared" si="4"/>
        <v>2.4007656000000002</v>
      </c>
      <c r="F17">
        <f t="shared" si="4"/>
        <v>4.57995E-2</v>
      </c>
      <c r="G17">
        <f t="shared" si="4"/>
        <v>1.5731999999999999E-2</v>
      </c>
    </row>
    <row r="18" spans="1:7" x14ac:dyDescent="0.25">
      <c r="A18" t="s">
        <v>55</v>
      </c>
      <c r="B18">
        <f>B12+B13+B14+B15</f>
        <v>37449.193529199991</v>
      </c>
      <c r="C18">
        <f t="shared" ref="C18:G18" si="5">C12+C13+C14+C15</f>
        <v>1646761.3709160001</v>
      </c>
      <c r="D18">
        <f t="shared" si="5"/>
        <v>429203.19480120001</v>
      </c>
      <c r="E18">
        <f t="shared" si="5"/>
        <v>26120932.785475999</v>
      </c>
      <c r="F18">
        <f t="shared" si="5"/>
        <v>77.304427599999997</v>
      </c>
      <c r="G18">
        <f t="shared" si="5"/>
        <v>2057.6313535999998</v>
      </c>
    </row>
    <row r="19" spans="1:7" x14ac:dyDescent="0.25">
      <c r="A19" t="str">
        <f>Sheet1!A90</f>
        <v>benefit-IG (s)</v>
      </c>
      <c r="B19">
        <f>B15-B16</f>
        <v>0.2666076</v>
      </c>
      <c r="C19">
        <f t="shared" ref="C19:G19" si="6">C15-C16</f>
        <v>1.3761656999999998</v>
      </c>
      <c r="D19">
        <f t="shared" si="6"/>
        <v>0.8386235999999998</v>
      </c>
      <c r="E19">
        <f t="shared" si="6"/>
        <v>4.3287776999999998</v>
      </c>
      <c r="F19">
        <f t="shared" si="6"/>
        <v>3.2782800000000008E-2</v>
      </c>
      <c r="G19">
        <f t="shared" si="6"/>
        <v>1.1260800000000005E-2</v>
      </c>
    </row>
    <row r="20" spans="1:7" x14ac:dyDescent="0.25">
      <c r="A20" t="str">
        <f>Sheet1!A91</f>
        <v>benefit-G (s)</v>
      </c>
      <c r="B20">
        <f>B15-B17</f>
        <v>0.36985269999999992</v>
      </c>
      <c r="C20">
        <f t="shared" ref="C20:G20" si="7">C15-C17</f>
        <v>1.6414663999999999</v>
      </c>
      <c r="D20">
        <f t="shared" si="7"/>
        <v>1.1633846999999997</v>
      </c>
      <c r="E20">
        <f t="shared" si="7"/>
        <v>5.1632903999999993</v>
      </c>
      <c r="F20">
        <f t="shared" si="7"/>
        <v>4.54781E-2</v>
      </c>
      <c r="G20">
        <f t="shared" si="7"/>
        <v>1.5621600000000003E-2</v>
      </c>
    </row>
    <row r="21" spans="1:7" x14ac:dyDescent="0.25">
      <c r="A21" t="s">
        <v>43</v>
      </c>
      <c r="B21">
        <f>B19/B18*100</f>
        <v>7.1191813461114989E-4</v>
      </c>
      <c r="C21">
        <f t="shared" ref="C21:G21" si="8">C19/C18*100</f>
        <v>8.3568009567440654E-5</v>
      </c>
      <c r="D21">
        <f t="shared" si="8"/>
        <v>1.9539081026375787E-4</v>
      </c>
      <c r="E21">
        <f t="shared" si="8"/>
        <v>1.6572064005336465E-5</v>
      </c>
      <c r="F21">
        <f t="shared" si="8"/>
        <v>4.2407402807028878E-2</v>
      </c>
      <c r="G21">
        <f t="shared" si="8"/>
        <v>5.4727004330966693E-4</v>
      </c>
    </row>
    <row r="22" spans="1:7" x14ac:dyDescent="0.25">
      <c r="A22" t="s">
        <v>48</v>
      </c>
      <c r="B22">
        <f>B20/B18</f>
        <v>9.8761192203409494E-6</v>
      </c>
      <c r="C22">
        <f t="shared" ref="C22:G22" si="9">C20/C18</f>
        <v>9.9678461554326186E-7</v>
      </c>
      <c r="D22">
        <f t="shared" si="9"/>
        <v>2.7105685933648762E-6</v>
      </c>
      <c r="E22">
        <f t="shared" si="9"/>
        <v>1.9766868367238935E-7</v>
      </c>
      <c r="F22">
        <f t="shared" si="9"/>
        <v>5.8829877423476323E-4</v>
      </c>
      <c r="G22">
        <f t="shared" si="9"/>
        <v>7.5920305027762602E-6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67A2-1591-4CCC-9373-38D8BDB34CE7}">
  <dimension ref="A1:G22"/>
  <sheetViews>
    <sheetView workbookViewId="0">
      <selection activeCell="K22" sqref="K22"/>
    </sheetView>
  </sheetViews>
  <sheetFormatPr defaultRowHeight="15" x14ac:dyDescent="0.25"/>
  <cols>
    <col min="1" max="1" width="15.28515625" bestFit="1" customWidth="1"/>
    <col min="2" max="7" width="12" bestFit="1" customWidth="1"/>
  </cols>
  <sheetData>
    <row r="1" spans="1:7" x14ac:dyDescent="0.25">
      <c r="A1">
        <f>Sheet1!A74</f>
        <v>0</v>
      </c>
      <c r="B1" t="str">
        <f>Sheet1!B74</f>
        <v>DKIST-16</v>
      </c>
      <c r="C1" t="str">
        <f>Sheet1!C74</f>
        <v>DKIST-64</v>
      </c>
      <c r="D1" t="str">
        <f>Sheet1!D74</f>
        <v>EST-16</v>
      </c>
      <c r="E1" t="str">
        <f>Sheet1!E74</f>
        <v>EST-64</v>
      </c>
      <c r="F1" t="str">
        <f>Sheet1!G74</f>
        <v>MAD</v>
      </c>
      <c r="G1" t="str">
        <f>Sheet1!I74</f>
        <v>MORFEO</v>
      </c>
    </row>
    <row r="2" spans="1:7" x14ac:dyDescent="0.25">
      <c r="A2" t="str">
        <f>Sheet1!A75</f>
        <v>t_ps</v>
      </c>
      <c r="B2">
        <f>Sheet1!B75</f>
        <v>1.53</v>
      </c>
      <c r="C2">
        <f>Sheet1!C75</f>
        <v>20</v>
      </c>
      <c r="D2">
        <f>Sheet1!D75</f>
        <v>3.84</v>
      </c>
      <c r="E2">
        <f>Sheet1!E75</f>
        <v>50.2</v>
      </c>
      <c r="F2">
        <f>Sheet1!G75</f>
        <v>5.2499999999999998E-2</v>
      </c>
      <c r="G2">
        <f>Sheet1!I75</f>
        <v>2.08</v>
      </c>
    </row>
    <row r="3" spans="1:7" x14ac:dyDescent="0.25">
      <c r="A3" t="str">
        <f>Sheet1!A76</f>
        <v>t_prop</v>
      </c>
      <c r="B3">
        <f>Sheet1!B76</f>
        <v>0.57299999999999995</v>
      </c>
      <c r="C3">
        <f>Sheet1!C76</f>
        <v>25.2</v>
      </c>
      <c r="D3">
        <f>Sheet1!D76</f>
        <v>1.1599999999999999</v>
      </c>
      <c r="E3">
        <f>Sheet1!E76</f>
        <v>70.599999999999994</v>
      </c>
      <c r="F3">
        <f>Sheet1!G76</f>
        <v>9.5899999999999996E-3</v>
      </c>
      <c r="G3">
        <f>Sheet1!I76</f>
        <v>1.24</v>
      </c>
    </row>
    <row r="4" spans="1:7" x14ac:dyDescent="0.25">
      <c r="A4" t="str">
        <f>Sheet1!A80</f>
        <v>t_correlate</v>
      </c>
      <c r="B4">
        <f>Sheet1!B80</f>
        <v>9.0000000000000006E-5</v>
      </c>
      <c r="C4">
        <f>Sheet1!C80</f>
        <v>3.8000000000000002E-4</v>
      </c>
      <c r="D4">
        <f>Sheet1!D80</f>
        <v>9.0000000000000006E-5</v>
      </c>
      <c r="E4">
        <f>Sheet1!E80</f>
        <v>3.8000000000000002E-4</v>
      </c>
      <c r="F4">
        <f>Sheet1!G80</f>
        <v>0</v>
      </c>
      <c r="G4">
        <f>Sheet1!I80</f>
        <v>0</v>
      </c>
    </row>
    <row r="5" spans="1:7" x14ac:dyDescent="0.25">
      <c r="A5" t="str">
        <f>Sheet1!A77</f>
        <v>t_FT</v>
      </c>
      <c r="B5">
        <f>Sheet1!B77</f>
        <v>5.6799999999999998E-5</v>
      </c>
      <c r="C5">
        <f>Sheet1!C77</f>
        <v>1.84E-4</v>
      </c>
      <c r="D5">
        <f>Sheet1!D77</f>
        <v>5.6799999999999998E-5</v>
      </c>
      <c r="E5">
        <f>Sheet1!E77</f>
        <v>1.84E-4</v>
      </c>
      <c r="F5">
        <f>Sheet1!G77</f>
        <v>5.6799999999999998E-5</v>
      </c>
      <c r="G5">
        <f>Sheet1!I77</f>
        <v>5.6799999999999998E-5</v>
      </c>
    </row>
    <row r="6" spans="1:7" x14ac:dyDescent="0.25">
      <c r="A6" t="str">
        <f>Sheet1!A78</f>
        <v>t_IG</v>
      </c>
      <c r="B6">
        <f>Sheet1!B78</f>
        <v>3.6399999999999997E-5</v>
      </c>
      <c r="C6">
        <f>Sheet1!C78</f>
        <v>7.8700000000000002E-5</v>
      </c>
      <c r="D6">
        <f>Sheet1!D78</f>
        <v>3.6399999999999997E-5</v>
      </c>
      <c r="E6">
        <f>Sheet1!E78</f>
        <v>7.8700000000000002E-5</v>
      </c>
      <c r="F6">
        <f>Sheet1!G78</f>
        <v>3.6399999999999997E-5</v>
      </c>
      <c r="G6">
        <f>Sheet1!I78</f>
        <v>3.6399999999999997E-5</v>
      </c>
    </row>
    <row r="7" spans="1:7" x14ac:dyDescent="0.25">
      <c r="A7" t="str">
        <f>Sheet1!A79</f>
        <v>t_G</v>
      </c>
      <c r="B7">
        <f>Sheet1!B79</f>
        <v>2.8500000000000002E-5</v>
      </c>
      <c r="C7">
        <f>Sheet1!C79</f>
        <v>5.8400000000000003E-5</v>
      </c>
      <c r="D7">
        <f>Sheet1!D79</f>
        <v>2.8500000000000002E-5</v>
      </c>
      <c r="E7">
        <f>Sheet1!E79</f>
        <v>5.8400000000000003E-5</v>
      </c>
      <c r="F7">
        <f>Sheet1!G79</f>
        <v>2.8500000000000002E-5</v>
      </c>
      <c r="G7">
        <f>Sheet1!I79</f>
        <v>2.8500000000000002E-5</v>
      </c>
    </row>
    <row r="8" spans="1:7" x14ac:dyDescent="0.25">
      <c r="A8" t="str">
        <f>Sheet1!A81</f>
        <v>number ps</v>
      </c>
      <c r="B8" s="2">
        <f>Sheet1!B16</f>
        <v>3</v>
      </c>
      <c r="C8" s="2">
        <f>Sheet1!C16</f>
        <v>3</v>
      </c>
      <c r="D8" s="2">
        <f>Sheet1!D16</f>
        <v>5</v>
      </c>
      <c r="E8" s="2">
        <f>Sheet1!E16</f>
        <v>5</v>
      </c>
      <c r="F8" s="2">
        <f>Sheet1!F16</f>
        <v>3</v>
      </c>
      <c r="G8" s="2">
        <f>Sheet1!G16</f>
        <v>2</v>
      </c>
    </row>
    <row r="9" spans="1:7" x14ac:dyDescent="0.25">
      <c r="A9" t="s">
        <v>56</v>
      </c>
      <c r="B9" s="2">
        <f>INT(Sheet1!B48*Sheet1!B50)</f>
        <v>13069</v>
      </c>
      <c r="C9" s="2">
        <f>INT(Sheet1!C48*Sheet1!C50)</f>
        <v>13069</v>
      </c>
      <c r="D9" s="2">
        <f>INT(Sheet1!D48*Sheet1!D50)</f>
        <v>41109</v>
      </c>
      <c r="E9" s="2">
        <f>INT(Sheet1!E48*Sheet1!E50)</f>
        <v>41109</v>
      </c>
      <c r="F9" s="2">
        <f>INT(Sheet1!F48*Sheet1!F50)</f>
        <v>1607</v>
      </c>
      <c r="G9" s="2">
        <f>INT(Sheet1!G48*Sheet1!G50)</f>
        <v>552</v>
      </c>
    </row>
    <row r="10" spans="1:7" x14ac:dyDescent="0.25">
      <c r="A10" t="s">
        <v>57</v>
      </c>
      <c r="B10" s="2">
        <f>Sheet1!B52</f>
        <v>3600</v>
      </c>
      <c r="C10" s="2">
        <f>Sheet1!C52</f>
        <v>3600</v>
      </c>
      <c r="D10" s="2">
        <f>Sheet1!D52</f>
        <v>3600</v>
      </c>
      <c r="E10" s="2">
        <f>Sheet1!E52</f>
        <v>3600</v>
      </c>
      <c r="F10" s="2">
        <f>Sheet1!F52</f>
        <v>1</v>
      </c>
      <c r="G10" s="2">
        <f>Sheet1!G52</f>
        <v>1</v>
      </c>
    </row>
    <row r="11" spans="1:7" x14ac:dyDescent="0.25">
      <c r="A11" t="s">
        <v>58</v>
      </c>
      <c r="B11">
        <f>(B8*2-1)*B9</f>
        <v>65345</v>
      </c>
      <c r="C11">
        <f t="shared" ref="C11:G11" si="0">(C8*2-1)*C9</f>
        <v>65345</v>
      </c>
      <c r="D11">
        <f t="shared" si="0"/>
        <v>369981</v>
      </c>
      <c r="E11">
        <f t="shared" si="0"/>
        <v>369981</v>
      </c>
      <c r="F11">
        <f t="shared" si="0"/>
        <v>8035</v>
      </c>
      <c r="G11">
        <f t="shared" si="0"/>
        <v>1656</v>
      </c>
    </row>
    <row r="12" spans="1:7" x14ac:dyDescent="0.25">
      <c r="A12" t="str">
        <f>Sheet1!A84</f>
        <v>T_ps</v>
      </c>
      <c r="B12">
        <f>B8*B2</f>
        <v>4.59</v>
      </c>
      <c r="C12">
        <f>C8*C2</f>
        <v>60</v>
      </c>
      <c r="D12">
        <f>D8*D2</f>
        <v>19.2</v>
      </c>
      <c r="E12">
        <f>E8*E2</f>
        <v>251</v>
      </c>
      <c r="F12">
        <f>F8*F2</f>
        <v>0.1575</v>
      </c>
      <c r="G12">
        <f>G8*G2</f>
        <v>4.16</v>
      </c>
    </row>
    <row r="13" spans="1:7" x14ac:dyDescent="0.25">
      <c r="A13" t="str">
        <f>Sheet1!A85</f>
        <v>T_prop</v>
      </c>
      <c r="B13">
        <f>B11*B3</f>
        <v>37442.684999999998</v>
      </c>
      <c r="C13">
        <f t="shared" ref="C13:G13" si="1">C11*C3</f>
        <v>1646694</v>
      </c>
      <c r="D13">
        <f t="shared" si="1"/>
        <v>429177.95999999996</v>
      </c>
      <c r="E13">
        <f t="shared" si="1"/>
        <v>26120658.599999998</v>
      </c>
      <c r="F13">
        <f t="shared" si="1"/>
        <v>77.05565</v>
      </c>
      <c r="G13">
        <f t="shared" si="1"/>
        <v>2053.44</v>
      </c>
    </row>
    <row r="14" spans="1:7" x14ac:dyDescent="0.25">
      <c r="A14" t="str">
        <f>Sheet1!A89</f>
        <v>T_correlate</v>
      </c>
      <c r="B14">
        <f>B4*B9</f>
        <v>1.17621</v>
      </c>
      <c r="C14">
        <f>C4*C9</f>
        <v>4.9662199999999999</v>
      </c>
      <c r="D14">
        <f>D4*D9</f>
        <v>3.6998100000000003</v>
      </c>
      <c r="E14">
        <f>E4*E9</f>
        <v>15.621420000000001</v>
      </c>
      <c r="F14">
        <f>F4*F9</f>
        <v>0</v>
      </c>
      <c r="G14">
        <f>G4*G9</f>
        <v>0</v>
      </c>
    </row>
    <row r="15" spans="1:7" x14ac:dyDescent="0.25">
      <c r="A15" t="str">
        <f>Sheet1!A86</f>
        <v>T_FT</v>
      </c>
      <c r="B15">
        <f>B5*B9</f>
        <v>0.74231919999999996</v>
      </c>
      <c r="C15">
        <f t="shared" ref="C15:G15" si="2">C5*C9</f>
        <v>2.4046959999999999</v>
      </c>
      <c r="D15">
        <f t="shared" si="2"/>
        <v>2.3349911999999997</v>
      </c>
      <c r="E15">
        <f t="shared" si="2"/>
        <v>7.5640559999999999</v>
      </c>
      <c r="F15">
        <f t="shared" si="2"/>
        <v>9.12776E-2</v>
      </c>
      <c r="G15">
        <f t="shared" si="2"/>
        <v>3.1353600000000002E-2</v>
      </c>
    </row>
    <row r="16" spans="1:7" x14ac:dyDescent="0.25">
      <c r="A16" t="str">
        <f>Sheet1!A87</f>
        <v>T_IG</v>
      </c>
      <c r="B16">
        <f>B6*B9</f>
        <v>0.47571159999999996</v>
      </c>
      <c r="C16">
        <f t="shared" ref="C16:G16" si="3">C6*C9</f>
        <v>1.0285303000000001</v>
      </c>
      <c r="D16">
        <f t="shared" si="3"/>
        <v>1.4963675999999999</v>
      </c>
      <c r="E16">
        <f t="shared" si="3"/>
        <v>3.2352783000000001</v>
      </c>
      <c r="F16">
        <f t="shared" si="3"/>
        <v>5.8494799999999993E-2</v>
      </c>
      <c r="G16">
        <f t="shared" si="3"/>
        <v>2.0092799999999997E-2</v>
      </c>
    </row>
    <row r="17" spans="1:7" x14ac:dyDescent="0.25">
      <c r="A17" t="str">
        <f>Sheet1!A88</f>
        <v>T_G</v>
      </c>
      <c r="B17">
        <f>B7*B9</f>
        <v>0.37246650000000003</v>
      </c>
      <c r="C17">
        <f t="shared" ref="C17:G17" si="4">C7*C9</f>
        <v>0.76322960000000006</v>
      </c>
      <c r="D17">
        <f t="shared" si="4"/>
        <v>1.1716065</v>
      </c>
      <c r="E17">
        <f t="shared" si="4"/>
        <v>2.4007656000000002</v>
      </c>
      <c r="F17">
        <f t="shared" si="4"/>
        <v>4.57995E-2</v>
      </c>
      <c r="G17">
        <f t="shared" si="4"/>
        <v>1.5731999999999999E-2</v>
      </c>
    </row>
    <row r="18" spans="1:7" x14ac:dyDescent="0.25">
      <c r="A18" t="s">
        <v>55</v>
      </c>
      <c r="B18">
        <f>B12+B13+B14+B15</f>
        <v>37449.193529199991</v>
      </c>
      <c r="C18">
        <f t="shared" ref="C18:G18" si="5">C12+C13+C14+C15</f>
        <v>1646761.3709160001</v>
      </c>
      <c r="D18">
        <f t="shared" si="5"/>
        <v>429203.19480120001</v>
      </c>
      <c r="E18">
        <f t="shared" si="5"/>
        <v>26120932.785475999</v>
      </c>
      <c r="F18">
        <f t="shared" si="5"/>
        <v>77.304427599999997</v>
      </c>
      <c r="G18">
        <f t="shared" si="5"/>
        <v>2057.6313535999998</v>
      </c>
    </row>
    <row r="19" spans="1:7" x14ac:dyDescent="0.25">
      <c r="A19" t="str">
        <f>Sheet1!A90</f>
        <v>benefit-IG (s)</v>
      </c>
      <c r="B19">
        <f>B15-B16</f>
        <v>0.2666076</v>
      </c>
      <c r="C19">
        <f t="shared" ref="C19:G19" si="6">C15-C16</f>
        <v>1.3761656999999998</v>
      </c>
      <c r="D19">
        <f t="shared" si="6"/>
        <v>0.8386235999999998</v>
      </c>
      <c r="E19">
        <f t="shared" si="6"/>
        <v>4.3287776999999998</v>
      </c>
      <c r="F19">
        <f t="shared" si="6"/>
        <v>3.2782800000000008E-2</v>
      </c>
      <c r="G19">
        <f t="shared" si="6"/>
        <v>1.1260800000000005E-2</v>
      </c>
    </row>
    <row r="20" spans="1:7" x14ac:dyDescent="0.25">
      <c r="A20" t="str">
        <f>Sheet1!A91</f>
        <v>benefit-G (s)</v>
      </c>
      <c r="B20">
        <f>B15-B17</f>
        <v>0.36985269999999992</v>
      </c>
      <c r="C20">
        <f t="shared" ref="C20:G20" si="7">C15-C17</f>
        <v>1.6414663999999999</v>
      </c>
      <c r="D20">
        <f t="shared" si="7"/>
        <v>1.1633846999999997</v>
      </c>
      <c r="E20">
        <f t="shared" si="7"/>
        <v>5.1632903999999993</v>
      </c>
      <c r="F20">
        <f t="shared" si="7"/>
        <v>4.54781E-2</v>
      </c>
      <c r="G20">
        <f t="shared" si="7"/>
        <v>1.5621600000000003E-2</v>
      </c>
    </row>
    <row r="21" spans="1:7" x14ac:dyDescent="0.25">
      <c r="A21" t="s">
        <v>43</v>
      </c>
      <c r="B21">
        <f>B19/B18*100</f>
        <v>7.1191813461114989E-4</v>
      </c>
      <c r="C21">
        <f t="shared" ref="C21:G21" si="8">C19/C18*100</f>
        <v>8.3568009567440654E-5</v>
      </c>
      <c r="D21">
        <f t="shared" si="8"/>
        <v>1.9539081026375787E-4</v>
      </c>
      <c r="E21">
        <f t="shared" si="8"/>
        <v>1.6572064005336465E-5</v>
      </c>
      <c r="F21">
        <f t="shared" si="8"/>
        <v>4.2407402807028878E-2</v>
      </c>
      <c r="G21">
        <f t="shared" si="8"/>
        <v>5.4727004330966693E-4</v>
      </c>
    </row>
    <row r="22" spans="1:7" x14ac:dyDescent="0.25">
      <c r="A22" t="s">
        <v>48</v>
      </c>
      <c r="B22">
        <f>B20/B18*100</f>
        <v>9.8761192203409491E-4</v>
      </c>
      <c r="C22">
        <f t="shared" ref="C22:G22" si="9">C20/C18*100</f>
        <v>9.9678461554326189E-5</v>
      </c>
      <c r="D22">
        <f t="shared" si="9"/>
        <v>2.7105685933648764E-4</v>
      </c>
      <c r="E22">
        <f t="shared" si="9"/>
        <v>1.9766868367238935E-5</v>
      </c>
      <c r="F22">
        <f t="shared" si="9"/>
        <v>5.8829877423476326E-2</v>
      </c>
      <c r="G22">
        <f t="shared" si="9"/>
        <v>7.5920305027762599E-4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KONGKAEW, PUTTIWAT</dc:creator>
  <cp:lastModifiedBy>KONGKAEW, PUTTIWAT</cp:lastModifiedBy>
  <dcterms:created xsi:type="dcterms:W3CDTF">2025-07-04T14:25:20Z</dcterms:created>
  <dcterms:modified xsi:type="dcterms:W3CDTF">2025-07-15T13:39:17Z</dcterms:modified>
</cp:coreProperties>
</file>